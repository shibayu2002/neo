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pt\eclipse\jee-neon\eclipse\workspace\NeoFramework\設計書\ファイル設計書\"/>
    </mc:Choice>
  </mc:AlternateContent>
  <bookViews>
    <workbookView xWindow="240" yWindow="108" windowWidth="14808" windowHeight="8016" activeTab="5"/>
  </bookViews>
  <sheets>
    <sheet name="改定履歴" sheetId="3" r:id="rId1"/>
    <sheet name="表紙" sheetId="6" r:id="rId2"/>
    <sheet name="ヘッダ定義" sheetId="1" r:id="rId3"/>
    <sheet name="明細定義" sheetId="7" r:id="rId4"/>
    <sheet name="フッタ定義" sheetId="8" r:id="rId5"/>
    <sheet name="ツール" sheetId="2" r:id="rId6"/>
  </sheets>
  <definedNames>
    <definedName name="MAX桁数" localSheetId="4">フッタ定義!$F$4</definedName>
    <definedName name="MAX桁数" localSheetId="2">ヘッダ定義!$F$4</definedName>
    <definedName name="MAX桁数" localSheetId="3">明細定義!$F$4</definedName>
    <definedName name="Vlookup用パディング定義" localSheetId="5">ツール!$C$20:$D$24</definedName>
    <definedName name="システム名" localSheetId="1">表紙!$D$3</definedName>
    <definedName name="パディング" localSheetId="4">フッタ定義!$I$4</definedName>
    <definedName name="パディング" localSheetId="2">ヘッダ定義!$I$4</definedName>
    <definedName name="パディング" localSheetId="3">明細定義!$I$4</definedName>
    <definedName name="パディング定義">ツール!$C$20:$C$24</definedName>
    <definedName name="ファイル物理名" localSheetId="1">表紙!$C$24</definedName>
    <definedName name="ファイル名" localSheetId="1">表紙!$D$5</definedName>
    <definedName name="囲い文字" localSheetId="1">表紙!$E$30</definedName>
    <definedName name="改行コード" localSheetId="1">表紙!$E$27</definedName>
    <definedName name="格納先" localSheetId="1">表紙!$C$25</definedName>
    <definedName name="区切り文字" localSheetId="1">表紙!$E$29</definedName>
    <definedName name="固定可変" localSheetId="1">表紙!$E$28</definedName>
    <definedName name="行番号" localSheetId="4">フッタ定義!$B$4</definedName>
    <definedName name="行番号" localSheetId="2">ヘッダ定義!$B$4</definedName>
    <definedName name="行番号" localSheetId="3">明細定義!$B$4</definedName>
    <definedName name="項目ID" localSheetId="4">フッタ定義!$D$4</definedName>
    <definedName name="項目ID" localSheetId="2">ヘッダ定義!$D$4</definedName>
    <definedName name="項目ID" localSheetId="3">明細定義!$D$4</definedName>
    <definedName name="項目名" localSheetId="4">フッタ定義!$C$4</definedName>
    <definedName name="項目名" localSheetId="2">ヘッダ定義!$C$4</definedName>
    <definedName name="項目名" localSheetId="3">明細定義!$C$4</definedName>
    <definedName name="昇降" localSheetId="3">明細定義!#REF!</definedName>
    <definedName name="必須" localSheetId="4">フッタ定義!$E$4</definedName>
    <definedName name="必須" localSheetId="2">ヘッダ定義!$E$4</definedName>
    <definedName name="必須" localSheetId="3">明細定義!$E$4</definedName>
    <definedName name="文字コード" localSheetId="1">表紙!$E$26</definedName>
  </definedNames>
  <calcPr calcId="152511"/>
</workbook>
</file>

<file path=xl/calcChain.xml><?xml version="1.0" encoding="utf-8"?>
<calcChain xmlns="http://schemas.openxmlformats.org/spreadsheetml/2006/main">
  <c r="H32" i="8" l="1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G32" i="8" l="1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H5" i="8"/>
  <c r="G5" i="8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5" i="7"/>
  <c r="H5" i="7" s="1"/>
  <c r="G6" i="7" s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5" i="1"/>
  <c r="H5" i="1" s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E30" i="6"/>
  <c r="E29" i="6"/>
  <c r="E28" i="6"/>
  <c r="E27" i="6"/>
  <c r="E26" i="6"/>
  <c r="H6" i="7" l="1"/>
  <c r="G7" i="7" s="1"/>
  <c r="H7" i="7" s="1"/>
  <c r="G8" i="7" s="1"/>
  <c r="G6" i="1"/>
  <c r="H6" i="1" s="1"/>
  <c r="H8" i="7" l="1"/>
  <c r="G9" i="7" s="1"/>
  <c r="H9" i="7" l="1"/>
  <c r="G10" i="7" s="1"/>
  <c r="H10" i="7" s="1"/>
</calcChain>
</file>

<file path=xl/sharedStrings.xml><?xml version="1.0" encoding="utf-8"?>
<sst xmlns="http://schemas.openxmlformats.org/spreadsheetml/2006/main" count="160" uniqueCount="113">
  <si>
    <t>項目名</t>
    <rPh sb="0" eb="2">
      <t>コウモク</t>
    </rPh>
    <rPh sb="2" eb="3">
      <t>メイ</t>
    </rPh>
    <phoneticPr fontId="1"/>
  </si>
  <si>
    <t>#</t>
    <phoneticPr fontId="1"/>
  </si>
  <si>
    <t>EOF</t>
    <phoneticPr fontId="1"/>
  </si>
  <si>
    <t>#</t>
    <phoneticPr fontId="1"/>
  </si>
  <si>
    <t>タイトル</t>
    <phoneticPr fontId="1"/>
  </si>
  <si>
    <t>変更内容</t>
    <rPh sb="0" eb="2">
      <t>ヘンコウ</t>
    </rPh>
    <rPh sb="2" eb="4">
      <t>ナイヨウ</t>
    </rPh>
    <phoneticPr fontId="1"/>
  </si>
  <si>
    <t>変更日</t>
    <rPh sb="0" eb="2">
      <t>ヘンコウ</t>
    </rPh>
    <rPh sb="2" eb="3">
      <t>ニチ</t>
    </rPh>
    <phoneticPr fontId="1"/>
  </si>
  <si>
    <t>変更者</t>
    <rPh sb="0" eb="2">
      <t>ヘンコウ</t>
    </rPh>
    <rPh sb="2" eb="3">
      <t>シャ</t>
    </rPh>
    <phoneticPr fontId="1"/>
  </si>
  <si>
    <t>承認者</t>
    <rPh sb="0" eb="2">
      <t>ショウニン</t>
    </rPh>
    <rPh sb="2" eb="3">
      <t>シャ</t>
    </rPh>
    <phoneticPr fontId="1"/>
  </si>
  <si>
    <t>分類</t>
    <rPh sb="0" eb="2">
      <t>ブンルイ</t>
    </rPh>
    <phoneticPr fontId="1"/>
  </si>
  <si>
    <t>バージョン</t>
    <phoneticPr fontId="1"/>
  </si>
  <si>
    <t>1.0.0.0</t>
    <phoneticPr fontId="1"/>
  </si>
  <si>
    <t>新規</t>
    <rPh sb="0" eb="2">
      <t>シンキ</t>
    </rPh>
    <phoneticPr fontId="1"/>
  </si>
  <si>
    <t>2017/9/18</t>
    <phoneticPr fontId="1"/>
  </si>
  <si>
    <t>Yu.Shiba</t>
    <phoneticPr fontId="1"/>
  </si>
  <si>
    <t>説明</t>
    <rPh sb="0" eb="2">
      <t>セツメイ</t>
    </rPh>
    <phoneticPr fontId="1"/>
  </si>
  <si>
    <t>項目ID</t>
    <rPh sb="0" eb="2">
      <t>コウモク</t>
    </rPh>
    <phoneticPr fontId="1"/>
  </si>
  <si>
    <t>開始位置</t>
    <rPh sb="0" eb="2">
      <t>カイシ</t>
    </rPh>
    <rPh sb="2" eb="4">
      <t>イチ</t>
    </rPh>
    <phoneticPr fontId="1"/>
  </si>
  <si>
    <t>終了位置</t>
    <rPh sb="0" eb="2">
      <t>シュウリョウ</t>
    </rPh>
    <rPh sb="2" eb="4">
      <t>イチ</t>
    </rPh>
    <phoneticPr fontId="1"/>
  </si>
  <si>
    <t>基準日</t>
    <rPh sb="0" eb="3">
      <t>キジュンビ</t>
    </rPh>
    <phoneticPr fontId="1"/>
  </si>
  <si>
    <t>date</t>
    <phoneticPr fontId="1"/>
  </si>
  <si>
    <t>右空白埋め</t>
    <rPh sb="0" eb="1">
      <t>ミギ</t>
    </rPh>
    <rPh sb="1" eb="3">
      <t>クウハク</t>
    </rPh>
    <rPh sb="3" eb="4">
      <t>ウ</t>
    </rPh>
    <phoneticPr fontId="1"/>
  </si>
  <si>
    <t>左空白埋め</t>
    <rPh sb="0" eb="1">
      <t>ヒダリ</t>
    </rPh>
    <rPh sb="1" eb="3">
      <t>クウハク</t>
    </rPh>
    <rPh sb="3" eb="4">
      <t>ウ</t>
    </rPh>
    <phoneticPr fontId="1"/>
  </si>
  <si>
    <t>パディング</t>
    <phoneticPr fontId="1"/>
  </si>
  <si>
    <t>左0埋め</t>
    <rPh sb="0" eb="1">
      <t>ヒダリ</t>
    </rPh>
    <phoneticPr fontId="1"/>
  </si>
  <si>
    <t>右0埋め</t>
    <rPh sb="0" eb="1">
      <t>ミギ</t>
    </rPh>
    <phoneticPr fontId="1"/>
  </si>
  <si>
    <t>ファイル仕様書</t>
    <rPh sb="4" eb="7">
      <t>シヨウショ</t>
    </rPh>
    <phoneticPr fontId="1"/>
  </si>
  <si>
    <t>格納先</t>
    <rPh sb="0" eb="2">
      <t>カクノウ</t>
    </rPh>
    <rPh sb="2" eb="3">
      <t>サキ</t>
    </rPh>
    <phoneticPr fontId="1"/>
  </si>
  <si>
    <t>文字コード</t>
    <rPh sb="0" eb="2">
      <t>モジ</t>
    </rPh>
    <phoneticPr fontId="1"/>
  </si>
  <si>
    <t>固定長/可変長</t>
    <rPh sb="0" eb="3">
      <t>コテイチョウ</t>
    </rPh>
    <rPh sb="4" eb="7">
      <t>カヘンチョウ</t>
    </rPh>
    <phoneticPr fontId="1"/>
  </si>
  <si>
    <t>区切り文字</t>
    <rPh sb="0" eb="2">
      <t>クギ</t>
    </rPh>
    <rPh sb="3" eb="5">
      <t>モジ</t>
    </rPh>
    <phoneticPr fontId="1"/>
  </si>
  <si>
    <t>囲い文字</t>
    <rPh sb="0" eb="1">
      <t>カコ</t>
    </rPh>
    <rPh sb="2" eb="4">
      <t>モジ</t>
    </rPh>
    <phoneticPr fontId="1"/>
  </si>
  <si>
    <t>システム名</t>
    <rPh sb="4" eb="5">
      <t>メイ</t>
    </rPh>
    <phoneticPr fontId="1"/>
  </si>
  <si>
    <t>サンプルシステム</t>
    <phoneticPr fontId="1"/>
  </si>
  <si>
    <t>ファイル名</t>
    <rPh sb="4" eb="5">
      <t>メイ</t>
    </rPh>
    <phoneticPr fontId="1"/>
  </si>
  <si>
    <t>サンプルファイル</t>
    <phoneticPr fontId="1"/>
  </si>
  <si>
    <t>作成者</t>
    <rPh sb="0" eb="3">
      <t>サクセイシャ</t>
    </rPh>
    <phoneticPr fontId="1"/>
  </si>
  <si>
    <t>承認者</t>
    <rPh sb="0" eb="3">
      <t>ショウニンシャ</t>
    </rPh>
    <phoneticPr fontId="1"/>
  </si>
  <si>
    <t>最終更新日</t>
    <rPh sb="0" eb="2">
      <t>サイシュウ</t>
    </rPh>
    <rPh sb="2" eb="4">
      <t>コウシン</t>
    </rPh>
    <phoneticPr fontId="1"/>
  </si>
  <si>
    <t>最終承認日</t>
    <rPh sb="0" eb="2">
      <t>サイシュウ</t>
    </rPh>
    <rPh sb="2" eb="4">
      <t>ショウニン</t>
    </rPh>
    <phoneticPr fontId="1"/>
  </si>
  <si>
    <t>yyyy/mm/dd</t>
    <phoneticPr fontId="1"/>
  </si>
  <si>
    <t>概要</t>
    <rPh sb="0" eb="2">
      <t>ガイヨウ</t>
    </rPh>
    <phoneticPr fontId="1"/>
  </si>
  <si>
    <t>＜記載例＞
・ XXXXシステムから受領するXXXXX情報保持ファイル。
・ 毎月XX日のXX時に受領する。</t>
    <rPh sb="1" eb="3">
      <t>キサイ</t>
    </rPh>
    <rPh sb="3" eb="4">
      <t>レイ</t>
    </rPh>
    <rPh sb="18" eb="20">
      <t>ジュリョウ</t>
    </rPh>
    <rPh sb="27" eb="29">
      <t>ジョウホウ</t>
    </rPh>
    <rPh sb="29" eb="31">
      <t>ホジ</t>
    </rPh>
    <rPh sb="39" eb="41">
      <t>マイゲツ</t>
    </rPh>
    <rPh sb="43" eb="44">
      <t>ニチ</t>
    </rPh>
    <rPh sb="47" eb="48">
      <t>ジ</t>
    </rPh>
    <rPh sb="49" eb="51">
      <t>ジュリョウ</t>
    </rPh>
    <phoneticPr fontId="1"/>
  </si>
  <si>
    <t>ファイル形式</t>
    <rPh sb="4" eb="6">
      <t>ケイシキ</t>
    </rPh>
    <phoneticPr fontId="1"/>
  </si>
  <si>
    <t>固定長</t>
    <rPh sb="0" eb="2">
      <t>コテイ</t>
    </rPh>
    <rPh sb="2" eb="3">
      <t>チョウ</t>
    </rPh>
    <phoneticPr fontId="1"/>
  </si>
  <si>
    <t>カンマ</t>
    <phoneticPr fontId="1"/>
  </si>
  <si>
    <t>可変長</t>
    <rPh sb="0" eb="3">
      <t>カヘンチョウ</t>
    </rPh>
    <phoneticPr fontId="1"/>
  </si>
  <si>
    <t>タブ</t>
    <phoneticPr fontId="1"/>
  </si>
  <si>
    <t>なし</t>
  </si>
  <si>
    <t>なし</t>
    <phoneticPr fontId="1"/>
  </si>
  <si>
    <t>補足</t>
    <rPh sb="0" eb="2">
      <t>ホソク</t>
    </rPh>
    <phoneticPr fontId="1"/>
  </si>
  <si>
    <t>編集仕様は別紙「編集仕様書_サンプル」参照</t>
    <rPh sb="0" eb="2">
      <t>ヘンシュウ</t>
    </rPh>
    <rPh sb="2" eb="4">
      <t>シヨウ</t>
    </rPh>
    <rPh sb="5" eb="7">
      <t>ベッシ</t>
    </rPh>
    <rPh sb="8" eb="10">
      <t>ヘンシュウ</t>
    </rPh>
    <rPh sb="10" eb="13">
      <t>シヨウショ</t>
    </rPh>
    <rPh sb="19" eb="21">
      <t>サンショウ</t>
    </rPh>
    <phoneticPr fontId="1"/>
  </si>
  <si>
    <t xml:space="preserve"> NeoFramework サポートレイヤ ←</t>
    <phoneticPr fontId="1"/>
  </si>
  <si>
    <t>ファイル作成基準日</t>
    <rPh sb="4" eb="6">
      <t>サクセイ</t>
    </rPh>
    <rPh sb="6" eb="9">
      <t>キジュンビ</t>
    </rPh>
    <phoneticPr fontId="1"/>
  </si>
  <si>
    <t>明細レコード件数</t>
    <rPh sb="0" eb="2">
      <t>メイサイ</t>
    </rPh>
    <rPh sb="6" eb="8">
      <t>ケンスウ</t>
    </rPh>
    <phoneticPr fontId="1"/>
  </si>
  <si>
    <t>◆ 設定値定義</t>
    <rPh sb="2" eb="4">
      <t>セッテイ</t>
    </rPh>
    <rPh sb="4" eb="5">
      <t>アタイ</t>
    </rPh>
    <rPh sb="5" eb="7">
      <t>テイギ</t>
    </rPh>
    <phoneticPr fontId="1"/>
  </si>
  <si>
    <t>◆ NeoFramework定義ファイル作成</t>
    <rPh sb="14" eb="16">
      <t>テイギ</t>
    </rPh>
    <rPh sb="20" eb="22">
      <t>サクセイ</t>
    </rPh>
    <phoneticPr fontId="1"/>
  </si>
  <si>
    <t>改行コード</t>
    <rPh sb="0" eb="2">
      <t>カイギョウ</t>
    </rPh>
    <phoneticPr fontId="1"/>
  </si>
  <si>
    <t>改行コード</t>
    <rPh sb="0" eb="2">
      <t>カイギョウ</t>
    </rPh>
    <phoneticPr fontId="1"/>
  </si>
  <si>
    <t>CRLF</t>
    <phoneticPr fontId="1"/>
  </si>
  <si>
    <t>LF</t>
  </si>
  <si>
    <t>LF</t>
    <phoneticPr fontId="1"/>
  </si>
  <si>
    <t>選択肢</t>
    <rPh sb="0" eb="3">
      <t>センタクシ</t>
    </rPh>
    <phoneticPr fontId="1"/>
  </si>
  <si>
    <t>設定値</t>
    <rPh sb="0" eb="2">
      <t>セッテイ</t>
    </rPh>
    <rPh sb="2" eb="3">
      <t>アタイ</t>
    </rPh>
    <phoneticPr fontId="1"/>
  </si>
  <si>
    <t>None</t>
    <phoneticPr fontId="1"/>
  </si>
  <si>
    <t>RPad</t>
    <phoneticPr fontId="1"/>
  </si>
  <si>
    <t>NLPad</t>
    <phoneticPr fontId="1"/>
  </si>
  <si>
    <t>NRPad</t>
    <phoneticPr fontId="1"/>
  </si>
  <si>
    <t>ファイル物理名</t>
    <phoneticPr fontId="1"/>
  </si>
  <si>
    <t>■  ヘッダ定義</t>
    <rPh sb="6" eb="8">
      <t>テイギ</t>
    </rPh>
    <phoneticPr fontId="1"/>
  </si>
  <si>
    <t>■  明細定義</t>
    <rPh sb="3" eb="5">
      <t>メイサイ</t>
    </rPh>
    <rPh sb="5" eb="7">
      <t>テイギ</t>
    </rPh>
    <phoneticPr fontId="1"/>
  </si>
  <si>
    <t>■  フッタ定義</t>
    <rPh sb="6" eb="8">
      <t>テイギ</t>
    </rPh>
    <phoneticPr fontId="1"/>
  </si>
  <si>
    <t>Sample.txt</t>
    <phoneticPr fontId="1"/>
  </si>
  <si>
    <t>D:/tmp</t>
    <phoneticPr fontId="1"/>
  </si>
  <si>
    <t>LF</t>
    <phoneticPr fontId="1"/>
  </si>
  <si>
    <t>ダブルクォート</t>
    <phoneticPr fontId="1"/>
  </si>
  <si>
    <t>UTF-8</t>
  </si>
  <si>
    <t>UTF-8</t>
    <phoneticPr fontId="1"/>
  </si>
  <si>
    <t>EUC_JP</t>
    <phoneticPr fontId="1"/>
  </si>
  <si>
    <t>Windows-31J</t>
    <phoneticPr fontId="1"/>
  </si>
  <si>
    <t>FixedFile</t>
    <phoneticPr fontId="1"/>
  </si>
  <si>
    <t>VariableFile</t>
    <phoneticPr fontId="1"/>
  </si>
  <si>
    <t>レコード件数</t>
    <phoneticPr fontId="1"/>
  </si>
  <si>
    <t>count</t>
    <phoneticPr fontId="1"/>
  </si>
  <si>
    <t>パディング</t>
    <phoneticPr fontId="1"/>
  </si>
  <si>
    <t>MAX桁数</t>
    <rPh sb="3" eb="5">
      <t>ケタスウ</t>
    </rPh>
    <phoneticPr fontId="1"/>
  </si>
  <si>
    <t>なし</t>
    <phoneticPr fontId="1"/>
  </si>
  <si>
    <t>必須</t>
    <rPh sb="0" eb="2">
      <t>ヒッス</t>
    </rPh>
    <phoneticPr fontId="1"/>
  </si>
  <si>
    <t>○</t>
  </si>
  <si>
    <t>ユーザーID</t>
    <phoneticPr fontId="1"/>
  </si>
  <si>
    <t>ユーザー名</t>
    <rPh sb="4" eb="5">
      <t>メイ</t>
    </rPh>
    <phoneticPr fontId="1"/>
  </si>
  <si>
    <t>メールアドレス</t>
    <phoneticPr fontId="1"/>
  </si>
  <si>
    <t>備考</t>
    <rPh sb="0" eb="2">
      <t>ビコウ</t>
    </rPh>
    <phoneticPr fontId="1"/>
  </si>
  <si>
    <t>パスワード</t>
    <phoneticPr fontId="1"/>
  </si>
  <si>
    <t>userId</t>
    <phoneticPr fontId="1"/>
  </si>
  <si>
    <t>userName</t>
    <phoneticPr fontId="1"/>
  </si>
  <si>
    <t>password</t>
    <phoneticPr fontId="1"/>
  </si>
  <si>
    <t>mailAdress</t>
    <phoneticPr fontId="1"/>
  </si>
  <si>
    <t>remarks</t>
    <phoneticPr fontId="1"/>
  </si>
  <si>
    <t>－</t>
  </si>
  <si>
    <t>電話番号</t>
    <rPh sb="0" eb="2">
      <t>デンワ</t>
    </rPh>
    <rPh sb="2" eb="4">
      <t>バンゴウ</t>
    </rPh>
    <phoneticPr fontId="1"/>
  </si>
  <si>
    <t>tel</t>
    <phoneticPr fontId="1"/>
  </si>
  <si>
    <t>Lpad</t>
    <phoneticPr fontId="1"/>
  </si>
  <si>
    <t>MS932</t>
    <phoneticPr fontId="1"/>
  </si>
  <si>
    <t>UTF-8</t>
    <phoneticPr fontId="1"/>
  </si>
  <si>
    <t>euc-jp</t>
    <phoneticPr fontId="1"/>
  </si>
  <si>
    <t>カンマ</t>
  </si>
  <si>
    <t>ダブルクォート</t>
  </si>
  <si>
    <t>None</t>
    <phoneticPr fontId="1"/>
  </si>
  <si>
    <t>Comma</t>
    <phoneticPr fontId="1"/>
  </si>
  <si>
    <t>Tab</t>
    <phoneticPr fontId="1"/>
  </si>
  <si>
    <t>DoubleQuotes</t>
    <phoneticPr fontId="1"/>
  </si>
  <si>
    <t>None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</si>
</sst>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1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8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1"/>
      <color theme="0" tint="-0.1499984740745262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gray0625"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4" borderId="0" xfId="0" applyFill="1"/>
    <xf numFmtId="0" fontId="0" fillId="4" borderId="1" xfId="0" applyFill="1" applyBorder="1"/>
    <xf numFmtId="0" fontId="2" fillId="3" borderId="1" xfId="0" applyFont="1" applyFill="1" applyBorder="1"/>
    <xf numFmtId="0" fontId="3" fillId="5" borderId="0" xfId="0" applyFont="1" applyFill="1"/>
    <xf numFmtId="0" fontId="0" fillId="4" borderId="1" xfId="0" applyFill="1" applyBorder="1" applyAlignment="1">
      <alignment vertical="top"/>
    </xf>
    <xf numFmtId="176" fontId="0" fillId="4" borderId="1" xfId="0" applyNumberFormat="1" applyFill="1" applyBorder="1" applyAlignment="1">
      <alignment horizontal="left" vertical="center"/>
    </xf>
    <xf numFmtId="176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76" fontId="0" fillId="7" borderId="1" xfId="0" applyNumberFormat="1" applyFill="1" applyBorder="1" applyAlignment="1">
      <alignment horizontal="center" vertical="center"/>
    </xf>
    <xf numFmtId="177" fontId="0" fillId="4" borderId="0" xfId="0" applyNumberFormat="1" applyFill="1"/>
    <xf numFmtId="176" fontId="0" fillId="4" borderId="1" xfId="0" applyNumberFormat="1" applyFill="1" applyBorder="1" applyAlignment="1">
      <alignment vertical="center"/>
    </xf>
    <xf numFmtId="49" fontId="0" fillId="4" borderId="1" xfId="0" applyNumberFormat="1" applyFill="1" applyBorder="1" applyAlignment="1">
      <alignment vertical="center"/>
    </xf>
    <xf numFmtId="177" fontId="0" fillId="4" borderId="1" xfId="0" applyNumberForma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77" fontId="2" fillId="2" borderId="1" xfId="0" applyNumberFormat="1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6" fillId="4" borderId="20" xfId="0" applyFont="1" applyFill="1" applyBorder="1" applyAlignment="1">
      <alignment horizontal="center" vertical="center"/>
    </xf>
    <xf numFmtId="0" fontId="5" fillId="4" borderId="12" xfId="0" applyFont="1" applyFill="1" applyBorder="1"/>
    <xf numFmtId="0" fontId="5" fillId="4" borderId="13" xfId="0" applyFont="1" applyFill="1" applyBorder="1"/>
    <xf numFmtId="0" fontId="0" fillId="4" borderId="13" xfId="0" applyFill="1" applyBorder="1"/>
    <xf numFmtId="0" fontId="0" fillId="4" borderId="14" xfId="0" applyFill="1" applyBorder="1"/>
    <xf numFmtId="0" fontId="5" fillId="4" borderId="14" xfId="0" applyFont="1" applyFill="1" applyBorder="1"/>
    <xf numFmtId="0" fontId="0" fillId="8" borderId="10" xfId="0" applyFill="1" applyBorder="1"/>
    <xf numFmtId="0" fontId="0" fillId="8" borderId="32" xfId="0" applyFill="1" applyBorder="1"/>
    <xf numFmtId="0" fontId="0" fillId="8" borderId="22" xfId="0" applyFill="1" applyBorder="1"/>
    <xf numFmtId="0" fontId="0" fillId="8" borderId="34" xfId="0" applyFill="1" applyBorder="1"/>
    <xf numFmtId="0" fontId="4" fillId="9" borderId="18" xfId="0" applyFont="1" applyFill="1" applyBorder="1" applyAlignment="1">
      <alignment horizontal="center"/>
    </xf>
    <xf numFmtId="0" fontId="4" fillId="9" borderId="19" xfId="0" applyFont="1" applyFill="1" applyBorder="1" applyAlignment="1">
      <alignment horizontal="center"/>
    </xf>
    <xf numFmtId="0" fontId="4" fillId="9" borderId="20" xfId="0" applyFont="1" applyFill="1" applyBorder="1" applyAlignment="1">
      <alignment horizontal="center"/>
    </xf>
    <xf numFmtId="0" fontId="0" fillId="6" borderId="31" xfId="0" applyFill="1" applyBorder="1" applyAlignment="1">
      <alignment horizontal="left" indent="1"/>
    </xf>
    <xf numFmtId="0" fontId="0" fillId="6" borderId="33" xfId="0" applyFill="1" applyBorder="1" applyAlignment="1">
      <alignment horizontal="left" indent="1"/>
    </xf>
    <xf numFmtId="0" fontId="4" fillId="4" borderId="0" xfId="0" applyFont="1" applyFill="1" applyAlignment="1">
      <alignment horizontal="right"/>
    </xf>
    <xf numFmtId="0" fontId="2" fillId="3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wrapText="1"/>
    </xf>
    <xf numFmtId="0" fontId="10" fillId="8" borderId="9" xfId="0" applyFont="1" applyFill="1" applyBorder="1"/>
    <xf numFmtId="0" fontId="10" fillId="8" borderId="21" xfId="0" applyFont="1" applyFill="1" applyBorder="1"/>
    <xf numFmtId="0" fontId="11" fillId="4" borderId="0" xfId="0" applyFont="1" applyFill="1"/>
    <xf numFmtId="0" fontId="0" fillId="4" borderId="0" xfId="0" applyFill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3" borderId="27" xfId="0" applyFill="1" applyBorder="1" applyAlignment="1">
      <alignment horizontal="left" indent="1"/>
    </xf>
    <xf numFmtId="0" fontId="0" fillId="3" borderId="16" xfId="0" applyFill="1" applyBorder="1" applyAlignment="1">
      <alignment horizontal="left" indent="1"/>
    </xf>
    <xf numFmtId="0" fontId="0" fillId="3" borderId="28" xfId="0" applyFill="1" applyBorder="1" applyAlignment="1">
      <alignment horizontal="left" indent="1"/>
    </xf>
    <xf numFmtId="0" fontId="0" fillId="4" borderId="29" xfId="0" applyFill="1" applyBorder="1" applyAlignment="1">
      <alignment horizontal="left" vertical="top" wrapText="1" indent="1"/>
    </xf>
    <xf numFmtId="0" fontId="0" fillId="0" borderId="26" xfId="0" applyBorder="1" applyAlignment="1">
      <alignment horizontal="left" vertical="top" indent="1"/>
    </xf>
    <xf numFmtId="0" fontId="0" fillId="0" borderId="30" xfId="0" applyBorder="1" applyAlignment="1">
      <alignment horizontal="left" vertical="top" indent="1"/>
    </xf>
    <xf numFmtId="0" fontId="0" fillId="0" borderId="4" xfId="0" applyBorder="1" applyAlignment="1">
      <alignment horizontal="left" vertical="top" indent="1"/>
    </xf>
    <xf numFmtId="0" fontId="0" fillId="0" borderId="0" xfId="0" applyAlignment="1">
      <alignment horizontal="left" vertical="top" indent="1"/>
    </xf>
    <xf numFmtId="0" fontId="0" fillId="0" borderId="5" xfId="0" applyBorder="1" applyAlignment="1">
      <alignment horizontal="left" vertical="top" indent="1"/>
    </xf>
    <xf numFmtId="0" fontId="0" fillId="0" borderId="6" xfId="0" applyBorder="1" applyAlignment="1">
      <alignment horizontal="left" vertical="top" indent="1"/>
    </xf>
    <xf numFmtId="0" fontId="0" fillId="0" borderId="7" xfId="0" applyBorder="1" applyAlignment="1">
      <alignment horizontal="left" vertical="top" indent="1"/>
    </xf>
    <xf numFmtId="0" fontId="0" fillId="0" borderId="8" xfId="0" applyBorder="1" applyAlignment="1">
      <alignment horizontal="left" vertical="top" indent="1"/>
    </xf>
    <xf numFmtId="0" fontId="7" fillId="4" borderId="2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4" fillId="9" borderId="15" xfId="0" applyFont="1" applyFill="1" applyBorder="1" applyAlignment="1"/>
    <xf numFmtId="0" fontId="4" fillId="9" borderId="16" xfId="0" applyFont="1" applyFill="1" applyBorder="1" applyAlignment="1"/>
    <xf numFmtId="0" fontId="0" fillId="9" borderId="16" xfId="0" applyFill="1" applyBorder="1" applyAlignment="1"/>
    <xf numFmtId="0" fontId="0" fillId="9" borderId="17" xfId="0" applyFill="1" applyBorder="1" applyAlignment="1"/>
    <xf numFmtId="0" fontId="9" fillId="4" borderId="9" xfId="0" applyFont="1" applyFill="1" applyBorder="1" applyAlignment="1">
      <alignment horizontal="left" vertical="center" indent="1"/>
    </xf>
    <xf numFmtId="0" fontId="6" fillId="4" borderId="10" xfId="0" applyFont="1" applyFill="1" applyBorder="1" applyAlignment="1">
      <alignment horizontal="left" vertical="center" indent="1"/>
    </xf>
    <xf numFmtId="0" fontId="6" fillId="0" borderId="10" xfId="0" applyFont="1" applyBorder="1" applyAlignment="1">
      <alignment horizontal="left" indent="1"/>
    </xf>
    <xf numFmtId="0" fontId="6" fillId="0" borderId="11" xfId="0" applyFont="1" applyBorder="1" applyAlignment="1">
      <alignment horizontal="left" indent="1"/>
    </xf>
    <xf numFmtId="0" fontId="4" fillId="9" borderId="9" xfId="0" applyFont="1" applyFill="1" applyBorder="1" applyAlignment="1"/>
    <xf numFmtId="0" fontId="4" fillId="9" borderId="10" xfId="0" applyFont="1" applyFill="1" applyBorder="1" applyAlignment="1"/>
    <xf numFmtId="0" fontId="0" fillId="9" borderId="10" xfId="0" applyFill="1" applyBorder="1" applyAlignment="1"/>
    <xf numFmtId="0" fontId="0" fillId="9" borderId="11" xfId="0" applyFill="1" applyBorder="1" applyAlignment="1"/>
    <xf numFmtId="0" fontId="6" fillId="4" borderId="21" xfId="0" applyFont="1" applyFill="1" applyBorder="1" applyAlignment="1">
      <alignment horizontal="left" vertical="center" indent="1"/>
    </xf>
    <xf numFmtId="0" fontId="6" fillId="4" borderId="22" xfId="0" applyFont="1" applyFill="1" applyBorder="1" applyAlignment="1">
      <alignment horizontal="left" vertical="center" indent="1"/>
    </xf>
    <xf numFmtId="0" fontId="6" fillId="0" borderId="22" xfId="0" applyFont="1" applyBorder="1" applyAlignment="1">
      <alignment horizontal="left" indent="1"/>
    </xf>
    <xf numFmtId="0" fontId="6" fillId="0" borderId="23" xfId="0" applyFont="1" applyBorder="1" applyAlignment="1">
      <alignment horizontal="left" indent="1"/>
    </xf>
    <xf numFmtId="0" fontId="0" fillId="4" borderId="21" xfId="0" applyFill="1" applyBorder="1" applyAlignment="1"/>
    <xf numFmtId="0" fontId="0" fillId="0" borderId="22" xfId="0" applyBorder="1" applyAlignment="1"/>
    <xf numFmtId="0" fontId="0" fillId="4" borderId="9" xfId="0" applyFill="1" applyBorder="1" applyAlignment="1"/>
    <xf numFmtId="0" fontId="0" fillId="0" borderId="10" xfId="0" applyBorder="1" applyAlignment="1"/>
    <xf numFmtId="0" fontId="0" fillId="4" borderId="9" xfId="0" applyFill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32" xfId="0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</xdr:row>
          <xdr:rowOff>45720</xdr:rowOff>
        </xdr:from>
        <xdr:to>
          <xdr:col>2</xdr:col>
          <xdr:colOff>281940</xdr:colOff>
          <xdr:row>3</xdr:row>
          <xdr:rowOff>114300</xdr:rowOff>
        </xdr:to>
        <xdr:sp macro="" textlink="">
          <xdr:nvSpPr>
            <xdr:cNvPr id="7170" name="BtnXML作成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改定履歴">
    <pageSetUpPr fitToPage="1"/>
  </sheetPr>
  <dimension ref="B1:I32"/>
  <sheetViews>
    <sheetView workbookViewId="0">
      <selection activeCell="F14" sqref="F14"/>
    </sheetView>
  </sheetViews>
  <sheetFormatPr defaultRowHeight="13.2" x14ac:dyDescent="0.2"/>
  <cols>
    <col min="1" max="1" width="1.77734375" style="1" customWidth="1"/>
    <col min="2" max="2" width="4.109375" style="1" bestFit="1" customWidth="1"/>
    <col min="3" max="3" width="15.109375" style="1" customWidth="1"/>
    <col min="4" max="4" width="19.6640625" style="1" customWidth="1"/>
    <col min="5" max="5" width="30.6640625" style="1" customWidth="1"/>
    <col min="6" max="6" width="36.6640625" style="1" customWidth="1"/>
    <col min="7" max="7" width="11.88671875" style="11" customWidth="1"/>
    <col min="8" max="9" width="11.88671875" style="1" customWidth="1"/>
    <col min="10" max="16384" width="8.88671875" style="1"/>
  </cols>
  <sheetData>
    <row r="1" spans="2:9" ht="6" customHeight="1" x14ac:dyDescent="0.2"/>
    <row r="2" spans="2:9" x14ac:dyDescent="0.2">
      <c r="B2" s="15" t="s">
        <v>3</v>
      </c>
      <c r="C2" s="16" t="s">
        <v>10</v>
      </c>
      <c r="D2" s="16" t="s">
        <v>9</v>
      </c>
      <c r="E2" s="16" t="s">
        <v>4</v>
      </c>
      <c r="F2" s="16" t="s">
        <v>5</v>
      </c>
      <c r="G2" s="17" t="s">
        <v>6</v>
      </c>
      <c r="H2" s="16" t="s">
        <v>7</v>
      </c>
      <c r="I2" s="16" t="s">
        <v>8</v>
      </c>
    </row>
    <row r="3" spans="2:9" x14ac:dyDescent="0.2">
      <c r="B3" s="12">
        <v>1</v>
      </c>
      <c r="C3" s="13" t="s">
        <v>11</v>
      </c>
      <c r="D3" s="13"/>
      <c r="E3" s="13" t="s">
        <v>12</v>
      </c>
      <c r="F3" s="13"/>
      <c r="G3" s="14" t="s">
        <v>13</v>
      </c>
      <c r="H3" s="13" t="s">
        <v>14</v>
      </c>
      <c r="I3" s="13" t="s">
        <v>14</v>
      </c>
    </row>
    <row r="4" spans="2:9" x14ac:dyDescent="0.2">
      <c r="B4" s="12">
        <v>2</v>
      </c>
      <c r="C4" s="13"/>
      <c r="D4" s="13"/>
      <c r="E4" s="13"/>
      <c r="F4" s="13"/>
      <c r="G4" s="14"/>
      <c r="H4" s="13"/>
      <c r="I4" s="13"/>
    </row>
    <row r="5" spans="2:9" x14ac:dyDescent="0.2">
      <c r="B5" s="12">
        <v>3</v>
      </c>
      <c r="C5" s="13"/>
      <c r="D5" s="13"/>
      <c r="E5" s="13"/>
      <c r="F5" s="13"/>
      <c r="G5" s="14"/>
      <c r="H5" s="13"/>
      <c r="I5" s="13"/>
    </row>
    <row r="6" spans="2:9" x14ac:dyDescent="0.2">
      <c r="B6" s="12">
        <v>4</v>
      </c>
      <c r="C6" s="13"/>
      <c r="D6" s="13"/>
      <c r="E6" s="13"/>
      <c r="F6" s="13"/>
      <c r="G6" s="14"/>
      <c r="H6" s="13"/>
      <c r="I6" s="13"/>
    </row>
    <row r="7" spans="2:9" x14ac:dyDescent="0.2">
      <c r="B7" s="12">
        <v>5</v>
      </c>
      <c r="C7" s="13"/>
      <c r="D7" s="13"/>
      <c r="E7" s="13"/>
      <c r="F7" s="13"/>
      <c r="G7" s="14"/>
      <c r="H7" s="13"/>
      <c r="I7" s="13"/>
    </row>
    <row r="8" spans="2:9" x14ac:dyDescent="0.2">
      <c r="B8" s="12">
        <v>6</v>
      </c>
      <c r="C8" s="13"/>
      <c r="D8" s="13"/>
      <c r="E8" s="13"/>
      <c r="F8" s="13"/>
      <c r="G8" s="14"/>
      <c r="H8" s="13"/>
      <c r="I8" s="13"/>
    </row>
    <row r="9" spans="2:9" x14ac:dyDescent="0.2">
      <c r="B9" s="12">
        <v>7</v>
      </c>
      <c r="C9" s="13"/>
      <c r="D9" s="13"/>
      <c r="E9" s="13"/>
      <c r="F9" s="13"/>
      <c r="G9" s="14"/>
      <c r="H9" s="13"/>
      <c r="I9" s="13"/>
    </row>
    <row r="10" spans="2:9" x14ac:dyDescent="0.2">
      <c r="B10" s="12">
        <v>8</v>
      </c>
      <c r="C10" s="13"/>
      <c r="D10" s="13"/>
      <c r="E10" s="13"/>
      <c r="F10" s="13"/>
      <c r="G10" s="14"/>
      <c r="H10" s="13"/>
      <c r="I10" s="13"/>
    </row>
    <row r="11" spans="2:9" x14ac:dyDescent="0.2">
      <c r="B11" s="12">
        <v>9</v>
      </c>
      <c r="C11" s="13"/>
      <c r="D11" s="13"/>
      <c r="E11" s="13"/>
      <c r="F11" s="13"/>
      <c r="G11" s="14"/>
      <c r="H11" s="13"/>
      <c r="I11" s="13"/>
    </row>
    <row r="12" spans="2:9" x14ac:dyDescent="0.2">
      <c r="B12" s="12">
        <v>10</v>
      </c>
      <c r="C12" s="13"/>
      <c r="D12" s="13"/>
      <c r="E12" s="13"/>
      <c r="F12" s="13"/>
      <c r="G12" s="14"/>
      <c r="H12" s="13"/>
      <c r="I12" s="13"/>
    </row>
    <row r="13" spans="2:9" x14ac:dyDescent="0.2">
      <c r="B13" s="12">
        <v>11</v>
      </c>
      <c r="C13" s="13"/>
      <c r="D13" s="13"/>
      <c r="E13" s="13"/>
      <c r="F13" s="13"/>
      <c r="G13" s="14"/>
      <c r="H13" s="13"/>
      <c r="I13" s="13"/>
    </row>
    <row r="14" spans="2:9" x14ac:dyDescent="0.2">
      <c r="B14" s="12">
        <v>12</v>
      </c>
      <c r="C14" s="13"/>
      <c r="D14" s="13"/>
      <c r="E14" s="13"/>
      <c r="F14" s="13"/>
      <c r="G14" s="14"/>
      <c r="H14" s="13"/>
      <c r="I14" s="13"/>
    </row>
    <row r="15" spans="2:9" x14ac:dyDescent="0.2">
      <c r="B15" s="12">
        <v>13</v>
      </c>
      <c r="C15" s="13"/>
      <c r="D15" s="13"/>
      <c r="E15" s="13"/>
      <c r="F15" s="13"/>
      <c r="G15" s="14"/>
      <c r="H15" s="13"/>
      <c r="I15" s="13"/>
    </row>
    <row r="16" spans="2:9" x14ac:dyDescent="0.2">
      <c r="B16" s="12">
        <v>14</v>
      </c>
      <c r="C16" s="13"/>
      <c r="D16" s="13"/>
      <c r="E16" s="13"/>
      <c r="F16" s="13"/>
      <c r="G16" s="14"/>
      <c r="H16" s="13"/>
      <c r="I16" s="13"/>
    </row>
    <row r="17" spans="2:9" x14ac:dyDescent="0.2">
      <c r="B17" s="12">
        <v>15</v>
      </c>
      <c r="C17" s="13"/>
      <c r="D17" s="13"/>
      <c r="E17" s="13"/>
      <c r="F17" s="13"/>
      <c r="G17" s="14"/>
      <c r="H17" s="13"/>
      <c r="I17" s="13"/>
    </row>
    <row r="18" spans="2:9" x14ac:dyDescent="0.2">
      <c r="B18" s="12">
        <v>16</v>
      </c>
      <c r="C18" s="13"/>
      <c r="D18" s="13"/>
      <c r="E18" s="13"/>
      <c r="F18" s="13"/>
      <c r="G18" s="14"/>
      <c r="H18" s="13"/>
      <c r="I18" s="13"/>
    </row>
    <row r="19" spans="2:9" x14ac:dyDescent="0.2">
      <c r="B19" s="12">
        <v>17</v>
      </c>
      <c r="C19" s="13"/>
      <c r="D19" s="13"/>
      <c r="E19" s="13"/>
      <c r="F19" s="13"/>
      <c r="G19" s="14"/>
      <c r="H19" s="13"/>
      <c r="I19" s="13"/>
    </row>
    <row r="20" spans="2:9" x14ac:dyDescent="0.2">
      <c r="B20" s="12">
        <v>18</v>
      </c>
      <c r="C20" s="13"/>
      <c r="D20" s="13"/>
      <c r="E20" s="13"/>
      <c r="F20" s="13"/>
      <c r="G20" s="14"/>
      <c r="H20" s="13"/>
      <c r="I20" s="13"/>
    </row>
    <row r="21" spans="2:9" x14ac:dyDescent="0.2">
      <c r="B21" s="12">
        <v>19</v>
      </c>
      <c r="C21" s="13"/>
      <c r="D21" s="13"/>
      <c r="E21" s="13"/>
      <c r="F21" s="13"/>
      <c r="G21" s="14"/>
      <c r="H21" s="13"/>
      <c r="I21" s="13"/>
    </row>
    <row r="22" spans="2:9" x14ac:dyDescent="0.2">
      <c r="B22" s="12">
        <v>20</v>
      </c>
      <c r="C22" s="13"/>
      <c r="D22" s="13"/>
      <c r="E22" s="13"/>
      <c r="F22" s="13"/>
      <c r="G22" s="14"/>
      <c r="H22" s="13"/>
      <c r="I22" s="13"/>
    </row>
    <row r="23" spans="2:9" x14ac:dyDescent="0.2">
      <c r="B23" s="12">
        <v>21</v>
      </c>
      <c r="C23" s="13"/>
      <c r="D23" s="13"/>
      <c r="E23" s="13"/>
      <c r="F23" s="13"/>
      <c r="G23" s="14"/>
      <c r="H23" s="13"/>
      <c r="I23" s="13"/>
    </row>
    <row r="24" spans="2:9" x14ac:dyDescent="0.2">
      <c r="B24" s="12">
        <v>22</v>
      </c>
      <c r="C24" s="13"/>
      <c r="D24" s="13"/>
      <c r="E24" s="13"/>
      <c r="F24" s="13"/>
      <c r="G24" s="14"/>
      <c r="H24" s="13"/>
      <c r="I24" s="13"/>
    </row>
    <row r="25" spans="2:9" x14ac:dyDescent="0.2">
      <c r="B25" s="12">
        <v>23</v>
      </c>
      <c r="C25" s="13"/>
      <c r="D25" s="13"/>
      <c r="E25" s="13"/>
      <c r="F25" s="13"/>
      <c r="G25" s="14"/>
      <c r="H25" s="13"/>
      <c r="I25" s="13"/>
    </row>
    <row r="26" spans="2:9" x14ac:dyDescent="0.2">
      <c r="B26" s="12">
        <v>24</v>
      </c>
      <c r="C26" s="13"/>
      <c r="D26" s="13"/>
      <c r="E26" s="13"/>
      <c r="F26" s="13"/>
      <c r="G26" s="14"/>
      <c r="H26" s="13"/>
      <c r="I26" s="13"/>
    </row>
    <row r="27" spans="2:9" x14ac:dyDescent="0.2">
      <c r="B27" s="12">
        <v>25</v>
      </c>
      <c r="C27" s="13"/>
      <c r="D27" s="13"/>
      <c r="E27" s="13"/>
      <c r="F27" s="13"/>
      <c r="G27" s="14"/>
      <c r="H27" s="13"/>
      <c r="I27" s="13"/>
    </row>
    <row r="28" spans="2:9" x14ac:dyDescent="0.2">
      <c r="B28" s="12">
        <v>26</v>
      </c>
      <c r="C28" s="13"/>
      <c r="D28" s="13"/>
      <c r="E28" s="13"/>
      <c r="F28" s="13"/>
      <c r="G28" s="14"/>
      <c r="H28" s="13"/>
      <c r="I28" s="13"/>
    </row>
    <row r="29" spans="2:9" x14ac:dyDescent="0.2">
      <c r="B29" s="12">
        <v>27</v>
      </c>
      <c r="C29" s="13"/>
      <c r="D29" s="13"/>
      <c r="E29" s="13"/>
      <c r="F29" s="13"/>
      <c r="G29" s="14"/>
      <c r="H29" s="13"/>
      <c r="I29" s="13"/>
    </row>
    <row r="30" spans="2:9" x14ac:dyDescent="0.2">
      <c r="B30" s="12">
        <v>28</v>
      </c>
      <c r="C30" s="13"/>
      <c r="D30" s="13"/>
      <c r="E30" s="13"/>
      <c r="F30" s="13"/>
      <c r="G30" s="14"/>
      <c r="H30" s="13"/>
      <c r="I30" s="13"/>
    </row>
    <row r="31" spans="2:9" x14ac:dyDescent="0.2">
      <c r="B31" s="12">
        <v>29</v>
      </c>
      <c r="C31" s="13"/>
      <c r="D31" s="13"/>
      <c r="E31" s="13"/>
      <c r="F31" s="13"/>
      <c r="G31" s="14"/>
      <c r="H31" s="13"/>
      <c r="I31" s="13"/>
    </row>
    <row r="32" spans="2:9" x14ac:dyDescent="0.2">
      <c r="B32" s="12">
        <v>30</v>
      </c>
      <c r="C32" s="13"/>
      <c r="D32" s="13"/>
      <c r="E32" s="13"/>
      <c r="F32" s="13"/>
      <c r="G32" s="14"/>
      <c r="H32" s="13"/>
      <c r="I32" s="13"/>
    </row>
  </sheetData>
  <phoneticPr fontId="1"/>
  <pageMargins left="0.70866141732283472" right="0.70866141732283472" top="0.74803149606299213" bottom="0.74803149606299213" header="0.31496062992125984" footer="0.31496062992125984"/>
  <pageSetup paperSize="9" scale="93" fitToHeight="0" orientation="landscape" r:id="rId1"/>
  <headerFooter>
    <oddHeader>&amp;L&amp;F&amp;C&amp;A</oddHeader>
    <oddFooter>&amp;C&amp;P / &amp;N ページ&amp;R印刷日時：&amp;D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表紙">
    <pageSetUpPr fitToPage="1"/>
  </sheetPr>
  <dimension ref="B1:M30"/>
  <sheetViews>
    <sheetView workbookViewId="0">
      <selection activeCell="C33" sqref="C33"/>
    </sheetView>
  </sheetViews>
  <sheetFormatPr defaultColWidth="7.109375" defaultRowHeight="13.2" x14ac:dyDescent="0.2"/>
  <cols>
    <col min="1" max="1" width="1.77734375" style="1" customWidth="1"/>
    <col min="2" max="2" width="23.21875" style="1" customWidth="1"/>
    <col min="3" max="3" width="7.109375" style="1"/>
    <col min="4" max="4" width="9.5546875" style="1" customWidth="1"/>
    <col min="5" max="5" width="13.77734375" style="1" customWidth="1"/>
    <col min="6" max="10" width="7.109375" style="1"/>
    <col min="11" max="12" width="11.21875" style="1" customWidth="1"/>
    <col min="13" max="13" width="15.109375" style="1" customWidth="1"/>
    <col min="14" max="16384" width="7.109375" style="1"/>
  </cols>
  <sheetData>
    <row r="1" spans="2:13" ht="6.6" customHeight="1" thickBot="1" x14ac:dyDescent="0.25"/>
    <row r="2" spans="2:13" ht="9.6" customHeight="1" x14ac:dyDescent="0.2">
      <c r="B2" s="61" t="s">
        <v>26</v>
      </c>
      <c r="C2" s="62"/>
      <c r="D2" s="67" t="s">
        <v>32</v>
      </c>
      <c r="E2" s="68"/>
      <c r="F2" s="69"/>
      <c r="G2" s="69"/>
      <c r="H2" s="69"/>
      <c r="I2" s="69"/>
      <c r="J2" s="70"/>
      <c r="K2" s="30" t="s">
        <v>36</v>
      </c>
      <c r="L2" s="30" t="s">
        <v>37</v>
      </c>
      <c r="M2" s="31" t="s">
        <v>38</v>
      </c>
    </row>
    <row r="3" spans="2:13" ht="12.6" customHeight="1" x14ac:dyDescent="0.2">
      <c r="B3" s="63"/>
      <c r="C3" s="64"/>
      <c r="D3" s="71" t="s">
        <v>33</v>
      </c>
      <c r="E3" s="72"/>
      <c r="F3" s="73"/>
      <c r="G3" s="73"/>
      <c r="H3" s="73"/>
      <c r="I3" s="73"/>
      <c r="J3" s="74"/>
      <c r="K3" s="46"/>
      <c r="L3" s="46"/>
      <c r="M3" s="20" t="s">
        <v>40</v>
      </c>
    </row>
    <row r="4" spans="2:13" ht="9.6" customHeight="1" x14ac:dyDescent="0.2">
      <c r="B4" s="63"/>
      <c r="C4" s="64"/>
      <c r="D4" s="75" t="s">
        <v>34</v>
      </c>
      <c r="E4" s="76"/>
      <c r="F4" s="77"/>
      <c r="G4" s="77"/>
      <c r="H4" s="77"/>
      <c r="I4" s="77"/>
      <c r="J4" s="78"/>
      <c r="K4" s="47"/>
      <c r="L4" s="47"/>
      <c r="M4" s="32" t="s">
        <v>39</v>
      </c>
    </row>
    <row r="5" spans="2:13" ht="12.6" customHeight="1" thickBot="1" x14ac:dyDescent="0.25">
      <c r="B5" s="65"/>
      <c r="C5" s="66"/>
      <c r="D5" s="79" t="s">
        <v>35</v>
      </c>
      <c r="E5" s="80"/>
      <c r="F5" s="81"/>
      <c r="G5" s="81"/>
      <c r="H5" s="81"/>
      <c r="I5" s="81"/>
      <c r="J5" s="82"/>
      <c r="K5" s="48"/>
      <c r="L5" s="48"/>
      <c r="M5" s="19" t="s">
        <v>40</v>
      </c>
    </row>
    <row r="6" spans="2:13" ht="13.2" customHeight="1" thickBot="1" x14ac:dyDescent="0.25"/>
    <row r="7" spans="2:13" ht="13.2" customHeight="1" x14ac:dyDescent="0.2">
      <c r="B7" s="49" t="s">
        <v>41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1"/>
    </row>
    <row r="8" spans="2:13" ht="13.2" customHeight="1" x14ac:dyDescent="0.2">
      <c r="B8" s="52" t="s">
        <v>42</v>
      </c>
      <c r="C8" s="53"/>
      <c r="D8" s="53"/>
      <c r="E8" s="53"/>
      <c r="F8" s="53"/>
      <c r="G8" s="53"/>
      <c r="H8" s="53"/>
      <c r="I8" s="53"/>
      <c r="J8" s="53"/>
      <c r="K8" s="53"/>
      <c r="L8" s="53"/>
      <c r="M8" s="54"/>
    </row>
    <row r="9" spans="2:13" ht="13.2" customHeight="1" x14ac:dyDescent="0.2">
      <c r="B9" s="55"/>
      <c r="C9" s="56"/>
      <c r="D9" s="56"/>
      <c r="E9" s="56"/>
      <c r="F9" s="56"/>
      <c r="G9" s="56"/>
      <c r="H9" s="56"/>
      <c r="I9" s="56"/>
      <c r="J9" s="56"/>
      <c r="K9" s="56"/>
      <c r="L9" s="56"/>
      <c r="M9" s="57"/>
    </row>
    <row r="10" spans="2:13" ht="13.2" customHeight="1" x14ac:dyDescent="0.2">
      <c r="B10" s="55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7"/>
    </row>
    <row r="11" spans="2:13" ht="13.2" customHeight="1" x14ac:dyDescent="0.2">
      <c r="B11" s="55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7"/>
    </row>
    <row r="12" spans="2:13" ht="13.2" customHeight="1" x14ac:dyDescent="0.2">
      <c r="B12" s="55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7"/>
    </row>
    <row r="13" spans="2:13" ht="13.2" customHeight="1" x14ac:dyDescent="0.2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7"/>
    </row>
    <row r="14" spans="2:13" ht="13.2" customHeight="1" x14ac:dyDescent="0.2">
      <c r="B14" s="55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7"/>
    </row>
    <row r="15" spans="2:13" ht="13.2" customHeight="1" x14ac:dyDescent="0.2">
      <c r="B15" s="55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7"/>
    </row>
    <row r="16" spans="2:13" ht="13.2" customHeight="1" x14ac:dyDescent="0.2">
      <c r="B16" s="55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7"/>
    </row>
    <row r="17" spans="2:13" ht="13.2" customHeight="1" x14ac:dyDescent="0.2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7"/>
    </row>
    <row r="18" spans="2:13" ht="13.2" customHeight="1" x14ac:dyDescent="0.2">
      <c r="B18" s="55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7"/>
    </row>
    <row r="19" spans="2:13" ht="13.2" customHeight="1" x14ac:dyDescent="0.2">
      <c r="B19" s="55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7"/>
    </row>
    <row r="20" spans="2:13" ht="13.2" customHeight="1" x14ac:dyDescent="0.2">
      <c r="B20" s="55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7"/>
    </row>
    <row r="21" spans="2:13" ht="13.2" customHeight="1" thickBot="1" x14ac:dyDescent="0.25">
      <c r="B21" s="58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60"/>
    </row>
    <row r="22" spans="2:13" ht="13.2" customHeight="1" thickBot="1" x14ac:dyDescent="0.25"/>
    <row r="23" spans="2:13" ht="13.2" customHeight="1" x14ac:dyDescent="0.2">
      <c r="B23" s="49" t="s">
        <v>43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1"/>
    </row>
    <row r="24" spans="2:13" ht="13.2" customHeight="1" x14ac:dyDescent="0.2">
      <c r="B24" s="33" t="s">
        <v>68</v>
      </c>
      <c r="C24" s="87" t="s">
        <v>72</v>
      </c>
      <c r="D24" s="88"/>
      <c r="E24" s="88"/>
      <c r="F24" s="88"/>
      <c r="G24" s="88"/>
      <c r="H24" s="88"/>
      <c r="I24" s="88"/>
      <c r="J24" s="88"/>
      <c r="K24" s="88"/>
      <c r="L24" s="88"/>
      <c r="M24" s="89"/>
    </row>
    <row r="25" spans="2:13" ht="13.2" customHeight="1" x14ac:dyDescent="0.2">
      <c r="B25" s="33" t="s">
        <v>27</v>
      </c>
      <c r="C25" s="87" t="s">
        <v>73</v>
      </c>
      <c r="D25" s="88"/>
      <c r="E25" s="88"/>
      <c r="F25" s="88"/>
      <c r="G25" s="88"/>
      <c r="H25" s="88"/>
      <c r="I25" s="88"/>
      <c r="J25" s="88"/>
      <c r="K25" s="88"/>
      <c r="L25" s="88"/>
      <c r="M25" s="89"/>
    </row>
    <row r="26" spans="2:13" ht="13.2" customHeight="1" x14ac:dyDescent="0.2">
      <c r="B26" s="33" t="s">
        <v>28</v>
      </c>
      <c r="C26" s="85" t="s">
        <v>76</v>
      </c>
      <c r="D26" s="86"/>
      <c r="E26" s="41" t="str">
        <f>VLOOKUP(C26,ツール!C8:D10,2,FALSE)</f>
        <v>UTF-8</v>
      </c>
      <c r="F26" s="26"/>
      <c r="G26" s="26"/>
      <c r="H26" s="26"/>
      <c r="I26" s="26"/>
      <c r="J26" s="26"/>
      <c r="K26" s="26"/>
      <c r="L26" s="26"/>
      <c r="M26" s="27"/>
    </row>
    <row r="27" spans="2:13" ht="13.2" customHeight="1" x14ac:dyDescent="0.2">
      <c r="B27" s="33" t="s">
        <v>57</v>
      </c>
      <c r="C27" s="85" t="s">
        <v>60</v>
      </c>
      <c r="D27" s="86"/>
      <c r="E27" s="41" t="str">
        <f>VLOOKUP(C27,ツール!C11:D12,2,FALSE)</f>
        <v>LF</v>
      </c>
      <c r="F27" s="26"/>
      <c r="G27" s="26"/>
      <c r="H27" s="26"/>
      <c r="I27" s="26"/>
      <c r="J27" s="26"/>
      <c r="K27" s="26"/>
      <c r="L27" s="26"/>
      <c r="M27" s="27"/>
    </row>
    <row r="28" spans="2:13" x14ac:dyDescent="0.2">
      <c r="B28" s="33" t="s">
        <v>29</v>
      </c>
      <c r="C28" s="85" t="s">
        <v>46</v>
      </c>
      <c r="D28" s="86"/>
      <c r="E28" s="41" t="str">
        <f>VLOOKUP(C28,ツール!C13:D14,2,FALSE)</f>
        <v>VariableFile</v>
      </c>
      <c r="F28" s="26"/>
      <c r="G28" s="26"/>
      <c r="H28" s="26"/>
      <c r="I28" s="26"/>
      <c r="J28" s="26"/>
      <c r="K28" s="26"/>
      <c r="L28" s="26"/>
      <c r="M28" s="27"/>
    </row>
    <row r="29" spans="2:13" x14ac:dyDescent="0.2">
      <c r="B29" s="33" t="s">
        <v>30</v>
      </c>
      <c r="C29" s="85" t="s">
        <v>106</v>
      </c>
      <c r="D29" s="86"/>
      <c r="E29" s="41" t="str">
        <f>VLOOKUP(C29,ツール!C15:D17,2,FALSE)</f>
        <v>Comma</v>
      </c>
      <c r="F29" s="26"/>
      <c r="G29" s="26"/>
      <c r="H29" s="26"/>
      <c r="I29" s="26"/>
      <c r="J29" s="26"/>
      <c r="K29" s="26"/>
      <c r="L29" s="26"/>
      <c r="M29" s="27"/>
    </row>
    <row r="30" spans="2:13" ht="13.8" thickBot="1" x14ac:dyDescent="0.25">
      <c r="B30" s="34" t="s">
        <v>31</v>
      </c>
      <c r="C30" s="83" t="s">
        <v>107</v>
      </c>
      <c r="D30" s="84"/>
      <c r="E30" s="42" t="str">
        <f>VLOOKUP(C30,ツール!C18:D19,2,FALSE)</f>
        <v>DoubleQuotes</v>
      </c>
      <c r="F30" s="28"/>
      <c r="G30" s="28"/>
      <c r="H30" s="28"/>
      <c r="I30" s="28"/>
      <c r="J30" s="28"/>
      <c r="K30" s="28"/>
      <c r="L30" s="28"/>
      <c r="M30" s="29"/>
    </row>
  </sheetData>
  <mergeCells count="17">
    <mergeCell ref="C30:D30"/>
    <mergeCell ref="C27:D27"/>
    <mergeCell ref="C24:M24"/>
    <mergeCell ref="C25:M25"/>
    <mergeCell ref="C26:D26"/>
    <mergeCell ref="C28:D28"/>
    <mergeCell ref="C29:D29"/>
    <mergeCell ref="K3:K5"/>
    <mergeCell ref="L3:L5"/>
    <mergeCell ref="B7:M7"/>
    <mergeCell ref="B8:M21"/>
    <mergeCell ref="B23:M23"/>
    <mergeCell ref="B2:C5"/>
    <mergeCell ref="D2:J2"/>
    <mergeCell ref="D3:J3"/>
    <mergeCell ref="D4:J4"/>
    <mergeCell ref="D5:J5"/>
  </mergeCells>
  <phoneticPr fontId="1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&amp;L&amp;F&amp;C&amp;A</oddHeader>
    <oddFooter>&amp;C&amp;P / &amp;N ページ&amp;R印刷日時：&amp;D &amp;T</oddFoot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ツール!$C$8:$C$10</xm:f>
          </x14:formula1>
          <xm:sqref>C26:D26</xm:sqref>
        </x14:dataValidation>
        <x14:dataValidation type="list" allowBlank="1" showInputMessage="1" showErrorMessage="1">
          <x14:formula1>
            <xm:f>ツール!$C$13:$C$14</xm:f>
          </x14:formula1>
          <xm:sqref>C28:D28</xm:sqref>
        </x14:dataValidation>
        <x14:dataValidation type="list" allowBlank="1" showInputMessage="1" showErrorMessage="1">
          <x14:formula1>
            <xm:f>ツール!$C$15:$C$17</xm:f>
          </x14:formula1>
          <xm:sqref>C29:D29</xm:sqref>
        </x14:dataValidation>
        <x14:dataValidation type="list" allowBlank="1" showInputMessage="1" showErrorMessage="1">
          <x14:formula1>
            <xm:f>ツール!$C$18:$C$19</xm:f>
          </x14:formula1>
          <xm:sqref>C30:D30</xm:sqref>
        </x14:dataValidation>
        <x14:dataValidation type="list" allowBlank="1" showInputMessage="1" showErrorMessage="1">
          <x14:formula1>
            <xm:f>ツール!$C$11:$C$12</xm:f>
          </x14:formula1>
          <xm:sqref>C27:D27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ヘッダ定義">
    <pageSetUpPr fitToPage="1"/>
  </sheetPr>
  <dimension ref="B1:K33"/>
  <sheetViews>
    <sheetView workbookViewId="0">
      <selection activeCell="I5" sqref="I5"/>
    </sheetView>
  </sheetViews>
  <sheetFormatPr defaultRowHeight="13.2" x14ac:dyDescent="0.2"/>
  <cols>
    <col min="1" max="1" width="1.77734375" style="1" customWidth="1"/>
    <col min="2" max="2" width="6" style="1" customWidth="1"/>
    <col min="3" max="4" width="15.109375" style="1" customWidth="1"/>
    <col min="5" max="5" width="6.6640625" style="44" customWidth="1"/>
    <col min="6" max="6" width="10.77734375" style="1" customWidth="1"/>
    <col min="7" max="8" width="11" style="1" customWidth="1"/>
    <col min="9" max="9" width="12.5546875" style="1" customWidth="1"/>
    <col min="10" max="10" width="36" style="1" customWidth="1"/>
    <col min="11" max="11" width="41.109375" style="1" customWidth="1"/>
    <col min="12" max="16384" width="8.88671875" style="1"/>
  </cols>
  <sheetData>
    <row r="1" spans="2:11" ht="6.6" customHeight="1" x14ac:dyDescent="0.2"/>
    <row r="2" spans="2:11" ht="12.6" customHeight="1" x14ac:dyDescent="0.2">
      <c r="B2" s="43" t="s">
        <v>69</v>
      </c>
    </row>
    <row r="3" spans="2:11" ht="6.6" customHeight="1" x14ac:dyDescent="0.2"/>
    <row r="4" spans="2:11" x14ac:dyDescent="0.2">
      <c r="B4" s="36" t="s">
        <v>1</v>
      </c>
      <c r="C4" s="36" t="s">
        <v>0</v>
      </c>
      <c r="D4" s="36" t="s">
        <v>16</v>
      </c>
      <c r="E4" s="36" t="s">
        <v>87</v>
      </c>
      <c r="F4" s="36" t="s">
        <v>85</v>
      </c>
      <c r="G4" s="36" t="s">
        <v>17</v>
      </c>
      <c r="H4" s="36" t="s">
        <v>18</v>
      </c>
      <c r="I4" s="36" t="s">
        <v>23</v>
      </c>
      <c r="J4" s="37" t="s">
        <v>15</v>
      </c>
      <c r="K4" s="37" t="s">
        <v>50</v>
      </c>
    </row>
    <row r="5" spans="2:11" x14ac:dyDescent="0.2">
      <c r="B5" s="7">
        <f>ROW()-4</f>
        <v>1</v>
      </c>
      <c r="C5" s="6" t="s">
        <v>19</v>
      </c>
      <c r="D5" s="6" t="s">
        <v>20</v>
      </c>
      <c r="E5" s="7" t="s">
        <v>88</v>
      </c>
      <c r="F5" s="7">
        <v>10</v>
      </c>
      <c r="G5" s="9">
        <f>IF(F5="", "", 1)</f>
        <v>1</v>
      </c>
      <c r="H5" s="10">
        <f>IF(C5="", "", G5+F5-1)</f>
        <v>10</v>
      </c>
      <c r="I5" s="8" t="s">
        <v>48</v>
      </c>
      <c r="J5" s="38" t="s">
        <v>53</v>
      </c>
      <c r="K5" s="5" t="s">
        <v>51</v>
      </c>
    </row>
    <row r="6" spans="2:11" x14ac:dyDescent="0.2">
      <c r="B6" s="7">
        <f t="shared" ref="B6:B32" si="0">ROW()-4</f>
        <v>2</v>
      </c>
      <c r="C6" s="6" t="s">
        <v>82</v>
      </c>
      <c r="D6" s="6" t="s">
        <v>83</v>
      </c>
      <c r="E6" s="7" t="s">
        <v>88</v>
      </c>
      <c r="F6" s="7">
        <v>10</v>
      </c>
      <c r="G6" s="10">
        <f>IF(C6="", "", H5+1)</f>
        <v>11</v>
      </c>
      <c r="H6" s="10">
        <f>IF(C6="", "", G6+F6-1)</f>
        <v>20</v>
      </c>
      <c r="I6" s="8" t="s">
        <v>48</v>
      </c>
      <c r="J6" s="38" t="s">
        <v>54</v>
      </c>
      <c r="K6" s="5" t="s">
        <v>51</v>
      </c>
    </row>
    <row r="7" spans="2:11" x14ac:dyDescent="0.2">
      <c r="B7" s="7">
        <f t="shared" si="0"/>
        <v>3</v>
      </c>
      <c r="C7" s="6"/>
      <c r="D7" s="6"/>
      <c r="E7" s="7"/>
      <c r="F7" s="7"/>
      <c r="G7" s="10" t="str">
        <f>IF(C7="", "", H6+1)</f>
        <v/>
      </c>
      <c r="H7" s="10" t="str">
        <f>IF(C7="", "", G7+F7-1)</f>
        <v/>
      </c>
      <c r="I7" s="39"/>
      <c r="J7" s="38"/>
      <c r="K7" s="5"/>
    </row>
    <row r="8" spans="2:11" x14ac:dyDescent="0.2">
      <c r="B8" s="7">
        <f t="shared" si="0"/>
        <v>4</v>
      </c>
      <c r="C8" s="6"/>
      <c r="D8" s="6"/>
      <c r="E8" s="7"/>
      <c r="F8" s="7"/>
      <c r="G8" s="10" t="str">
        <f>IF(C8="", "", H7+1)</f>
        <v/>
      </c>
      <c r="H8" s="10" t="str">
        <f>IF(C8="", "", G8+F8-1)</f>
        <v/>
      </c>
      <c r="I8" s="39"/>
      <c r="J8" s="38"/>
      <c r="K8" s="5"/>
    </row>
    <row r="9" spans="2:11" x14ac:dyDescent="0.2">
      <c r="B9" s="7">
        <f t="shared" si="0"/>
        <v>5</v>
      </c>
      <c r="C9" s="6"/>
      <c r="D9" s="6"/>
      <c r="E9" s="7"/>
      <c r="F9" s="7"/>
      <c r="G9" s="10" t="str">
        <f>IF(C9="", "", H8+1)</f>
        <v/>
      </c>
      <c r="H9" s="10" t="str">
        <f>IF(C9="", "", G9+F9-1)</f>
        <v/>
      </c>
      <c r="I9" s="39"/>
      <c r="J9" s="38"/>
      <c r="K9" s="5"/>
    </row>
    <row r="10" spans="2:11" x14ac:dyDescent="0.2">
      <c r="B10" s="7">
        <f t="shared" si="0"/>
        <v>6</v>
      </c>
      <c r="C10" s="6"/>
      <c r="D10" s="6"/>
      <c r="E10" s="7"/>
      <c r="F10" s="7"/>
      <c r="G10" s="10" t="str">
        <f>IF(C10="", "", H9+1)</f>
        <v/>
      </c>
      <c r="H10" s="10" t="str">
        <f>IF(C10="", "", G10+F10-1)</f>
        <v/>
      </c>
      <c r="I10" s="39"/>
      <c r="J10" s="38"/>
      <c r="K10" s="5"/>
    </row>
    <row r="11" spans="2:11" x14ac:dyDescent="0.2">
      <c r="B11" s="7">
        <f t="shared" si="0"/>
        <v>7</v>
      </c>
      <c r="C11" s="6"/>
      <c r="D11" s="6"/>
      <c r="E11" s="7"/>
      <c r="F11" s="7"/>
      <c r="G11" s="10" t="str">
        <f>IF(C11="", "", H10+1)</f>
        <v/>
      </c>
      <c r="H11" s="10" t="str">
        <f>IF(C11="", "", G11+F11-1)</f>
        <v/>
      </c>
      <c r="I11" s="39"/>
      <c r="J11" s="38"/>
      <c r="K11" s="5"/>
    </row>
    <row r="12" spans="2:11" x14ac:dyDescent="0.2">
      <c r="B12" s="7">
        <f t="shared" si="0"/>
        <v>8</v>
      </c>
      <c r="C12" s="6"/>
      <c r="D12" s="6"/>
      <c r="E12" s="7"/>
      <c r="F12" s="7"/>
      <c r="G12" s="10" t="str">
        <f>IF(C12="", "", H11+1)</f>
        <v/>
      </c>
      <c r="H12" s="10" t="str">
        <f>IF(C12="", "", G12+F12-1)</f>
        <v/>
      </c>
      <c r="I12" s="39"/>
      <c r="J12" s="38"/>
      <c r="K12" s="5"/>
    </row>
    <row r="13" spans="2:11" x14ac:dyDescent="0.2">
      <c r="B13" s="7">
        <f t="shared" si="0"/>
        <v>9</v>
      </c>
      <c r="C13" s="6"/>
      <c r="D13" s="6"/>
      <c r="E13" s="7"/>
      <c r="F13" s="7"/>
      <c r="G13" s="10" t="str">
        <f>IF(C13="", "", H12+1)</f>
        <v/>
      </c>
      <c r="H13" s="10" t="str">
        <f>IF(C13="", "", G13+F13-1)</f>
        <v/>
      </c>
      <c r="I13" s="39"/>
      <c r="J13" s="38"/>
      <c r="K13" s="5"/>
    </row>
    <row r="14" spans="2:11" x14ac:dyDescent="0.2">
      <c r="B14" s="7">
        <f t="shared" si="0"/>
        <v>10</v>
      </c>
      <c r="C14" s="6"/>
      <c r="D14" s="6"/>
      <c r="E14" s="7"/>
      <c r="F14" s="7"/>
      <c r="G14" s="10" t="str">
        <f>IF(C14="", "", H13+1)</f>
        <v/>
      </c>
      <c r="H14" s="10" t="str">
        <f>IF(C14="", "", G14+F14-1)</f>
        <v/>
      </c>
      <c r="I14" s="39"/>
      <c r="J14" s="38"/>
      <c r="K14" s="5"/>
    </row>
    <row r="15" spans="2:11" x14ac:dyDescent="0.2">
      <c r="B15" s="7">
        <f t="shared" si="0"/>
        <v>11</v>
      </c>
      <c r="C15" s="6"/>
      <c r="D15" s="6"/>
      <c r="E15" s="7"/>
      <c r="F15" s="7"/>
      <c r="G15" s="10" t="str">
        <f>IF(C15="", "", H14+1)</f>
        <v/>
      </c>
      <c r="H15" s="10" t="str">
        <f>IF(C15="", "", G15+F15-1)</f>
        <v/>
      </c>
      <c r="I15" s="39"/>
      <c r="J15" s="38"/>
      <c r="K15" s="5"/>
    </row>
    <row r="16" spans="2:11" x14ac:dyDescent="0.2">
      <c r="B16" s="7">
        <f t="shared" si="0"/>
        <v>12</v>
      </c>
      <c r="C16" s="6"/>
      <c r="D16" s="6"/>
      <c r="E16" s="7"/>
      <c r="F16" s="7"/>
      <c r="G16" s="10" t="str">
        <f>IF(C16="", "", H15+1)</f>
        <v/>
      </c>
      <c r="H16" s="10" t="str">
        <f>IF(C16="", "", G16+F16-1)</f>
        <v/>
      </c>
      <c r="I16" s="39"/>
      <c r="J16" s="38"/>
      <c r="K16" s="5"/>
    </row>
    <row r="17" spans="2:11" x14ac:dyDescent="0.2">
      <c r="B17" s="7">
        <f t="shared" si="0"/>
        <v>13</v>
      </c>
      <c r="C17" s="6"/>
      <c r="D17" s="6"/>
      <c r="E17" s="7"/>
      <c r="F17" s="7"/>
      <c r="G17" s="10" t="str">
        <f>IF(C17="", "", H16+1)</f>
        <v/>
      </c>
      <c r="H17" s="10" t="str">
        <f>IF(C17="", "", G17+F17-1)</f>
        <v/>
      </c>
      <c r="I17" s="39"/>
      <c r="J17" s="38"/>
      <c r="K17" s="5"/>
    </row>
    <row r="18" spans="2:11" x14ac:dyDescent="0.2">
      <c r="B18" s="7">
        <f t="shared" si="0"/>
        <v>14</v>
      </c>
      <c r="C18" s="6"/>
      <c r="D18" s="6"/>
      <c r="E18" s="7"/>
      <c r="F18" s="7"/>
      <c r="G18" s="10" t="str">
        <f>IF(C18="", "", H17+1)</f>
        <v/>
      </c>
      <c r="H18" s="10" t="str">
        <f>IF(C18="", "", G18+F18-1)</f>
        <v/>
      </c>
      <c r="I18" s="39"/>
      <c r="J18" s="38"/>
      <c r="K18" s="5"/>
    </row>
    <row r="19" spans="2:11" x14ac:dyDescent="0.2">
      <c r="B19" s="7">
        <f t="shared" si="0"/>
        <v>15</v>
      </c>
      <c r="C19" s="6"/>
      <c r="D19" s="6"/>
      <c r="E19" s="7"/>
      <c r="F19" s="7"/>
      <c r="G19" s="10" t="str">
        <f>IF(C19="", "", H18+1)</f>
        <v/>
      </c>
      <c r="H19" s="10" t="str">
        <f>IF(C19="", "", G19+F19-1)</f>
        <v/>
      </c>
      <c r="I19" s="39"/>
      <c r="J19" s="38"/>
      <c r="K19" s="5"/>
    </row>
    <row r="20" spans="2:11" x14ac:dyDescent="0.2">
      <c r="B20" s="7">
        <f t="shared" si="0"/>
        <v>16</v>
      </c>
      <c r="C20" s="6"/>
      <c r="D20" s="6"/>
      <c r="E20" s="7"/>
      <c r="F20" s="7"/>
      <c r="G20" s="10" t="str">
        <f>IF(C20="", "", H19+1)</f>
        <v/>
      </c>
      <c r="H20" s="10" t="str">
        <f>IF(C20="", "", G20+F20-1)</f>
        <v/>
      </c>
      <c r="I20" s="39"/>
      <c r="J20" s="38"/>
      <c r="K20" s="5"/>
    </row>
    <row r="21" spans="2:11" x14ac:dyDescent="0.2">
      <c r="B21" s="7">
        <f t="shared" si="0"/>
        <v>17</v>
      </c>
      <c r="C21" s="6"/>
      <c r="D21" s="6"/>
      <c r="E21" s="7"/>
      <c r="F21" s="7"/>
      <c r="G21" s="10" t="str">
        <f>IF(C21="", "", H20+1)</f>
        <v/>
      </c>
      <c r="H21" s="10" t="str">
        <f>IF(C21="", "", G21+F21-1)</f>
        <v/>
      </c>
      <c r="I21" s="39"/>
      <c r="J21" s="38"/>
      <c r="K21" s="5"/>
    </row>
    <row r="22" spans="2:11" x14ac:dyDescent="0.2">
      <c r="B22" s="7">
        <f t="shared" si="0"/>
        <v>18</v>
      </c>
      <c r="C22" s="6"/>
      <c r="D22" s="6"/>
      <c r="E22" s="7"/>
      <c r="F22" s="7"/>
      <c r="G22" s="10" t="str">
        <f>IF(C22="", "", H21+1)</f>
        <v/>
      </c>
      <c r="H22" s="10" t="str">
        <f>IF(C22="", "", G22+F22-1)</f>
        <v/>
      </c>
      <c r="I22" s="39"/>
      <c r="J22" s="38"/>
      <c r="K22" s="5"/>
    </row>
    <row r="23" spans="2:11" x14ac:dyDescent="0.2">
      <c r="B23" s="7">
        <f t="shared" si="0"/>
        <v>19</v>
      </c>
      <c r="C23" s="6"/>
      <c r="D23" s="6"/>
      <c r="E23" s="7"/>
      <c r="F23" s="7"/>
      <c r="G23" s="10" t="str">
        <f>IF(C23="", "", H22+1)</f>
        <v/>
      </c>
      <c r="H23" s="10" t="str">
        <f>IF(C23="", "", G23+F23-1)</f>
        <v/>
      </c>
      <c r="I23" s="39"/>
      <c r="J23" s="38"/>
      <c r="K23" s="5"/>
    </row>
    <row r="24" spans="2:11" x14ac:dyDescent="0.2">
      <c r="B24" s="7">
        <f t="shared" si="0"/>
        <v>20</v>
      </c>
      <c r="C24" s="6"/>
      <c r="D24" s="6"/>
      <c r="E24" s="7"/>
      <c r="F24" s="7"/>
      <c r="G24" s="10" t="str">
        <f>IF(C24="", "", H23+1)</f>
        <v/>
      </c>
      <c r="H24" s="10" t="str">
        <f>IF(C24="", "", G24+F24-1)</f>
        <v/>
      </c>
      <c r="I24" s="39"/>
      <c r="J24" s="38"/>
      <c r="K24" s="5"/>
    </row>
    <row r="25" spans="2:11" x14ac:dyDescent="0.2">
      <c r="B25" s="7">
        <f t="shared" si="0"/>
        <v>21</v>
      </c>
      <c r="C25" s="6"/>
      <c r="D25" s="6"/>
      <c r="E25" s="7"/>
      <c r="F25" s="7"/>
      <c r="G25" s="10" t="str">
        <f>IF(C25="", "", H24+1)</f>
        <v/>
      </c>
      <c r="H25" s="10" t="str">
        <f>IF(C25="", "", G25+F25-1)</f>
        <v/>
      </c>
      <c r="I25" s="39"/>
      <c r="J25" s="38"/>
      <c r="K25" s="5"/>
    </row>
    <row r="26" spans="2:11" x14ac:dyDescent="0.2">
      <c r="B26" s="7">
        <f t="shared" si="0"/>
        <v>22</v>
      </c>
      <c r="C26" s="6"/>
      <c r="D26" s="6"/>
      <c r="E26" s="7"/>
      <c r="F26" s="7"/>
      <c r="G26" s="10" t="str">
        <f>IF(C26="", "", H25+1)</f>
        <v/>
      </c>
      <c r="H26" s="10" t="str">
        <f>IF(C26="", "", G26+F26-1)</f>
        <v/>
      </c>
      <c r="I26" s="39"/>
      <c r="J26" s="38"/>
      <c r="K26" s="5"/>
    </row>
    <row r="27" spans="2:11" x14ac:dyDescent="0.2">
      <c r="B27" s="7">
        <f t="shared" si="0"/>
        <v>23</v>
      </c>
      <c r="C27" s="6"/>
      <c r="D27" s="6"/>
      <c r="E27" s="7"/>
      <c r="F27" s="7"/>
      <c r="G27" s="10" t="str">
        <f>IF(C27="", "", H26+1)</f>
        <v/>
      </c>
      <c r="H27" s="10" t="str">
        <f>IF(C27="", "", G27+F27-1)</f>
        <v/>
      </c>
      <c r="I27" s="39"/>
      <c r="J27" s="38"/>
      <c r="K27" s="5"/>
    </row>
    <row r="28" spans="2:11" x14ac:dyDescent="0.2">
      <c r="B28" s="7">
        <f t="shared" si="0"/>
        <v>24</v>
      </c>
      <c r="C28" s="6"/>
      <c r="D28" s="6"/>
      <c r="E28" s="7"/>
      <c r="F28" s="7"/>
      <c r="G28" s="10" t="str">
        <f>IF(C28="", "", H27+1)</f>
        <v/>
      </c>
      <c r="H28" s="10" t="str">
        <f>IF(C28="", "", G28+F28-1)</f>
        <v/>
      </c>
      <c r="I28" s="39"/>
      <c r="J28" s="38"/>
      <c r="K28" s="5"/>
    </row>
    <row r="29" spans="2:11" x14ac:dyDescent="0.2">
      <c r="B29" s="7">
        <f t="shared" si="0"/>
        <v>25</v>
      </c>
      <c r="C29" s="6"/>
      <c r="D29" s="6"/>
      <c r="E29" s="7"/>
      <c r="F29" s="7"/>
      <c r="G29" s="10" t="str">
        <f>IF(C29="", "", H28+1)</f>
        <v/>
      </c>
      <c r="H29" s="10" t="str">
        <f>IF(C29="", "", G29+F29-1)</f>
        <v/>
      </c>
      <c r="I29" s="39"/>
      <c r="J29" s="38"/>
      <c r="K29" s="5"/>
    </row>
    <row r="30" spans="2:11" x14ac:dyDescent="0.2">
      <c r="B30" s="7">
        <f t="shared" si="0"/>
        <v>26</v>
      </c>
      <c r="C30" s="6"/>
      <c r="D30" s="6"/>
      <c r="E30" s="7"/>
      <c r="F30" s="7"/>
      <c r="G30" s="10" t="str">
        <f>IF(C30="", "", H29+1)</f>
        <v/>
      </c>
      <c r="H30" s="10" t="str">
        <f>IF(C30="", "", G30+F30-1)</f>
        <v/>
      </c>
      <c r="I30" s="39"/>
      <c r="J30" s="38"/>
      <c r="K30" s="5"/>
    </row>
    <row r="31" spans="2:11" x14ac:dyDescent="0.2">
      <c r="B31" s="7">
        <f t="shared" si="0"/>
        <v>27</v>
      </c>
      <c r="C31" s="6"/>
      <c r="D31" s="6"/>
      <c r="E31" s="7"/>
      <c r="F31" s="7"/>
      <c r="G31" s="10" t="str">
        <f>IF(C31="", "", H30+1)</f>
        <v/>
      </c>
      <c r="H31" s="10" t="str">
        <f>IF(C31="", "", G31+F31-1)</f>
        <v/>
      </c>
      <c r="I31" s="39"/>
      <c r="J31" s="38"/>
      <c r="K31" s="5"/>
    </row>
    <row r="32" spans="2:11" x14ac:dyDescent="0.2">
      <c r="B32" s="7">
        <f t="shared" si="0"/>
        <v>28</v>
      </c>
      <c r="C32" s="6"/>
      <c r="D32" s="6"/>
      <c r="E32" s="7"/>
      <c r="F32" s="7"/>
      <c r="G32" s="10" t="str">
        <f>IF(C32="", "", H31+1)</f>
        <v/>
      </c>
      <c r="H32" s="10" t="str">
        <f>IF(C32="", "", G32+F32-1)</f>
        <v/>
      </c>
      <c r="I32" s="39"/>
      <c r="J32" s="38"/>
      <c r="K32" s="5"/>
    </row>
    <row r="33" spans="2:9" x14ac:dyDescent="0.2">
      <c r="B33" s="4" t="s">
        <v>2</v>
      </c>
      <c r="I33" s="35" t="s">
        <v>52</v>
      </c>
    </row>
  </sheetData>
  <phoneticPr fontId="1"/>
  <dataValidations count="2">
    <dataValidation type="list" allowBlank="1" showInputMessage="1" showErrorMessage="1" sqref="I5:I32">
      <formula1>パディング定義</formula1>
    </dataValidation>
    <dataValidation type="list" allowBlank="1" showInputMessage="1" showErrorMessage="1" sqref="E5:E32">
      <formula1>"－,○"</formula1>
    </dataValidation>
  </dataValidations>
  <pageMargins left="0.70866141732283472" right="0.70866141732283472" top="0.74803149606299213" bottom="0.74803149606299213" header="0.31496062992125984" footer="0.31496062992125984"/>
  <pageSetup paperSize="9" scale="81" fitToHeight="0" orientation="landscape" r:id="rId1"/>
  <headerFooter>
    <oddHeader>&amp;L&amp;F&amp;C&amp;A</oddHeader>
    <oddFooter>&amp;C&amp;P / &amp;N ページ&amp;R印刷日時：&amp;D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明細定義">
    <pageSetUpPr fitToPage="1"/>
  </sheetPr>
  <dimension ref="B1:K33"/>
  <sheetViews>
    <sheetView workbookViewId="0">
      <selection activeCell="I5" sqref="I5:I10"/>
    </sheetView>
  </sheetViews>
  <sheetFormatPr defaultRowHeight="13.2" x14ac:dyDescent="0.2"/>
  <cols>
    <col min="1" max="1" width="1.77734375" style="1" customWidth="1"/>
    <col min="2" max="2" width="6" style="1" customWidth="1"/>
    <col min="3" max="4" width="15.109375" style="1" customWidth="1"/>
    <col min="5" max="5" width="6.6640625" style="44" customWidth="1"/>
    <col min="6" max="6" width="10.77734375" style="1" customWidth="1"/>
    <col min="7" max="8" width="11" style="1" customWidth="1"/>
    <col min="9" max="9" width="12.5546875" style="1" customWidth="1"/>
    <col min="10" max="10" width="36" style="1" customWidth="1"/>
    <col min="11" max="11" width="41.109375" style="1" customWidth="1"/>
    <col min="12" max="16384" width="8.88671875" style="1"/>
  </cols>
  <sheetData>
    <row r="1" spans="2:11" ht="6.6" customHeight="1" x14ac:dyDescent="0.2"/>
    <row r="2" spans="2:11" ht="12.6" customHeight="1" x14ac:dyDescent="0.2">
      <c r="B2" s="43" t="s">
        <v>70</v>
      </c>
    </row>
    <row r="3" spans="2:11" ht="6.6" customHeight="1" x14ac:dyDescent="0.2"/>
    <row r="4" spans="2:11" x14ac:dyDescent="0.2">
      <c r="B4" s="36" t="s">
        <v>1</v>
      </c>
      <c r="C4" s="36" t="s">
        <v>0</v>
      </c>
      <c r="D4" s="36" t="s">
        <v>16</v>
      </c>
      <c r="E4" s="36" t="s">
        <v>87</v>
      </c>
      <c r="F4" s="36" t="s">
        <v>85</v>
      </c>
      <c r="G4" s="36" t="s">
        <v>17</v>
      </c>
      <c r="H4" s="36" t="s">
        <v>18</v>
      </c>
      <c r="I4" s="36" t="s">
        <v>23</v>
      </c>
      <c r="J4" s="37" t="s">
        <v>15</v>
      </c>
      <c r="K4" s="37" t="s">
        <v>50</v>
      </c>
    </row>
    <row r="5" spans="2:11" x14ac:dyDescent="0.2">
      <c r="B5" s="7">
        <f>ROW()-4</f>
        <v>1</v>
      </c>
      <c r="C5" s="6" t="s">
        <v>89</v>
      </c>
      <c r="D5" s="6" t="s">
        <v>94</v>
      </c>
      <c r="E5" s="7" t="s">
        <v>88</v>
      </c>
      <c r="F5" s="7">
        <v>20</v>
      </c>
      <c r="G5" s="9">
        <f>IF(F5="", "", 1)</f>
        <v>1</v>
      </c>
      <c r="H5" s="10">
        <f>IF(C5="", "", G5+F5-1)</f>
        <v>20</v>
      </c>
      <c r="I5" s="18" t="s">
        <v>48</v>
      </c>
      <c r="J5" s="38"/>
      <c r="K5" s="5"/>
    </row>
    <row r="6" spans="2:11" x14ac:dyDescent="0.2">
      <c r="B6" s="7">
        <f t="shared" ref="B6:B32" si="0">ROW()-4</f>
        <v>2</v>
      </c>
      <c r="C6" s="6" t="s">
        <v>90</v>
      </c>
      <c r="D6" s="6" t="s">
        <v>95</v>
      </c>
      <c r="E6" s="7" t="s">
        <v>88</v>
      </c>
      <c r="F6" s="7">
        <v>50</v>
      </c>
      <c r="G6" s="10">
        <f>IF(C6="", "", H5+1)</f>
        <v>21</v>
      </c>
      <c r="H6" s="10">
        <f>IF(C6="", "", G6+F6-1)</f>
        <v>70</v>
      </c>
      <c r="I6" s="45" t="s">
        <v>48</v>
      </c>
      <c r="J6" s="38"/>
      <c r="K6" s="5"/>
    </row>
    <row r="7" spans="2:11" x14ac:dyDescent="0.2">
      <c r="B7" s="7">
        <f t="shared" si="0"/>
        <v>3</v>
      </c>
      <c r="C7" s="6" t="s">
        <v>93</v>
      </c>
      <c r="D7" s="6" t="s">
        <v>96</v>
      </c>
      <c r="E7" s="7" t="s">
        <v>88</v>
      </c>
      <c r="F7" s="7">
        <v>128</v>
      </c>
      <c r="G7" s="10">
        <f t="shared" ref="G7:G32" si="1">IF(C7="", "", H6+1)</f>
        <v>71</v>
      </c>
      <c r="H7" s="10">
        <f>IF(C7="", "", G7+F7-1)</f>
        <v>198</v>
      </c>
      <c r="I7" s="45" t="s">
        <v>48</v>
      </c>
      <c r="J7" s="38"/>
      <c r="K7" s="5"/>
    </row>
    <row r="8" spans="2:11" x14ac:dyDescent="0.2">
      <c r="B8" s="7">
        <f t="shared" si="0"/>
        <v>4</v>
      </c>
      <c r="C8" s="6" t="s">
        <v>100</v>
      </c>
      <c r="D8" s="6" t="s">
        <v>101</v>
      </c>
      <c r="E8" s="7" t="s">
        <v>99</v>
      </c>
      <c r="F8" s="7">
        <v>50</v>
      </c>
      <c r="G8" s="10">
        <f t="shared" si="1"/>
        <v>199</v>
      </c>
      <c r="H8" s="10">
        <f>IF(C8="", "", G8+F8-1)</f>
        <v>248</v>
      </c>
      <c r="I8" s="45" t="s">
        <v>48</v>
      </c>
      <c r="J8" s="38"/>
      <c r="K8" s="5"/>
    </row>
    <row r="9" spans="2:11" x14ac:dyDescent="0.2">
      <c r="B9" s="7">
        <f t="shared" si="0"/>
        <v>5</v>
      </c>
      <c r="C9" s="6" t="s">
        <v>91</v>
      </c>
      <c r="D9" s="6" t="s">
        <v>97</v>
      </c>
      <c r="E9" s="7" t="s">
        <v>99</v>
      </c>
      <c r="F9" s="7">
        <v>255</v>
      </c>
      <c r="G9" s="10">
        <f>IF(C9="", "", H8+1)</f>
        <v>249</v>
      </c>
      <c r="H9" s="10">
        <f>IF(C9="", "", G9+F9-1)</f>
        <v>503</v>
      </c>
      <c r="I9" s="45" t="s">
        <v>48</v>
      </c>
      <c r="J9" s="38"/>
      <c r="K9" s="5"/>
    </row>
    <row r="10" spans="2:11" x14ac:dyDescent="0.2">
      <c r="B10" s="7">
        <f t="shared" si="0"/>
        <v>6</v>
      </c>
      <c r="C10" s="6" t="s">
        <v>92</v>
      </c>
      <c r="D10" s="6" t="s">
        <v>98</v>
      </c>
      <c r="E10" s="7" t="s">
        <v>99</v>
      </c>
      <c r="F10" s="7">
        <v>255</v>
      </c>
      <c r="G10" s="10">
        <f>IF(C10="", "", H9+1)</f>
        <v>504</v>
      </c>
      <c r="H10" s="10">
        <f>IF(C10="", "", G10+F10-1)</f>
        <v>758</v>
      </c>
      <c r="I10" s="45" t="s">
        <v>48</v>
      </c>
      <c r="J10" s="38"/>
      <c r="K10" s="5"/>
    </row>
    <row r="11" spans="2:11" x14ac:dyDescent="0.2">
      <c r="B11" s="7">
        <f t="shared" si="0"/>
        <v>7</v>
      </c>
      <c r="C11" s="6"/>
      <c r="D11" s="6"/>
      <c r="E11" s="7"/>
      <c r="F11" s="7"/>
      <c r="G11" s="10" t="str">
        <f t="shared" si="1"/>
        <v/>
      </c>
      <c r="H11" s="10" t="str">
        <f>IF(C11="", "", G11+F11-1)</f>
        <v/>
      </c>
      <c r="I11" s="39"/>
      <c r="J11" s="38"/>
      <c r="K11" s="5"/>
    </row>
    <row r="12" spans="2:11" x14ac:dyDescent="0.2">
      <c r="B12" s="7">
        <f t="shared" si="0"/>
        <v>8</v>
      </c>
      <c r="C12" s="6"/>
      <c r="D12" s="6"/>
      <c r="E12" s="7"/>
      <c r="F12" s="7"/>
      <c r="G12" s="10" t="str">
        <f t="shared" si="1"/>
        <v/>
      </c>
      <c r="H12" s="10" t="str">
        <f>IF(C12="", "", G12+F12-1)</f>
        <v/>
      </c>
      <c r="I12" s="39"/>
      <c r="J12" s="38"/>
      <c r="K12" s="5"/>
    </row>
    <row r="13" spans="2:11" x14ac:dyDescent="0.2">
      <c r="B13" s="7">
        <f t="shared" si="0"/>
        <v>9</v>
      </c>
      <c r="C13" s="6"/>
      <c r="D13" s="6"/>
      <c r="E13" s="7"/>
      <c r="F13" s="7"/>
      <c r="G13" s="10" t="str">
        <f t="shared" si="1"/>
        <v/>
      </c>
      <c r="H13" s="10" t="str">
        <f>IF(C13="", "", G13+F13-1)</f>
        <v/>
      </c>
      <c r="I13" s="39"/>
      <c r="J13" s="38"/>
      <c r="K13" s="5"/>
    </row>
    <row r="14" spans="2:11" x14ac:dyDescent="0.2">
      <c r="B14" s="7">
        <f t="shared" si="0"/>
        <v>10</v>
      </c>
      <c r="C14" s="6"/>
      <c r="D14" s="6"/>
      <c r="E14" s="7"/>
      <c r="F14" s="7"/>
      <c r="G14" s="10" t="str">
        <f t="shared" si="1"/>
        <v/>
      </c>
      <c r="H14" s="10" t="str">
        <f>IF(C14="", "", G14+F14-1)</f>
        <v/>
      </c>
      <c r="I14" s="39"/>
      <c r="J14" s="38"/>
      <c r="K14" s="5"/>
    </row>
    <row r="15" spans="2:11" x14ac:dyDescent="0.2">
      <c r="B15" s="7">
        <f t="shared" si="0"/>
        <v>11</v>
      </c>
      <c r="C15" s="6"/>
      <c r="D15" s="6"/>
      <c r="E15" s="7"/>
      <c r="F15" s="7"/>
      <c r="G15" s="10" t="str">
        <f t="shared" si="1"/>
        <v/>
      </c>
      <c r="H15" s="10" t="str">
        <f>IF(C15="", "", G15+F15-1)</f>
        <v/>
      </c>
      <c r="I15" s="39"/>
      <c r="J15" s="38"/>
      <c r="K15" s="5"/>
    </row>
    <row r="16" spans="2:11" x14ac:dyDescent="0.2">
      <c r="B16" s="7">
        <f t="shared" si="0"/>
        <v>12</v>
      </c>
      <c r="C16" s="6"/>
      <c r="D16" s="6"/>
      <c r="E16" s="7"/>
      <c r="F16" s="7"/>
      <c r="G16" s="10" t="str">
        <f t="shared" si="1"/>
        <v/>
      </c>
      <c r="H16" s="10" t="str">
        <f>IF(C16="", "", G16+F16-1)</f>
        <v/>
      </c>
      <c r="I16" s="39"/>
      <c r="J16" s="38"/>
      <c r="K16" s="5"/>
    </row>
    <row r="17" spans="2:11" x14ac:dyDescent="0.2">
      <c r="B17" s="7">
        <f t="shared" si="0"/>
        <v>13</v>
      </c>
      <c r="C17" s="6"/>
      <c r="D17" s="6"/>
      <c r="E17" s="7"/>
      <c r="F17" s="7"/>
      <c r="G17" s="10" t="str">
        <f t="shared" si="1"/>
        <v/>
      </c>
      <c r="H17" s="10" t="str">
        <f>IF(C17="", "", G17+F17-1)</f>
        <v/>
      </c>
      <c r="I17" s="39"/>
      <c r="J17" s="38"/>
      <c r="K17" s="5"/>
    </row>
    <row r="18" spans="2:11" x14ac:dyDescent="0.2">
      <c r="B18" s="7">
        <f t="shared" si="0"/>
        <v>14</v>
      </c>
      <c r="C18" s="6"/>
      <c r="D18" s="6"/>
      <c r="E18" s="7"/>
      <c r="F18" s="7"/>
      <c r="G18" s="10" t="str">
        <f t="shared" si="1"/>
        <v/>
      </c>
      <c r="H18" s="10" t="str">
        <f>IF(C18="", "", G18+F18-1)</f>
        <v/>
      </c>
      <c r="I18" s="39"/>
      <c r="J18" s="38"/>
      <c r="K18" s="5"/>
    </row>
    <row r="19" spans="2:11" x14ac:dyDescent="0.2">
      <c r="B19" s="7">
        <f t="shared" si="0"/>
        <v>15</v>
      </c>
      <c r="C19" s="6"/>
      <c r="D19" s="6"/>
      <c r="E19" s="7"/>
      <c r="F19" s="7"/>
      <c r="G19" s="10" t="str">
        <f t="shared" si="1"/>
        <v/>
      </c>
      <c r="H19" s="10" t="str">
        <f>IF(C19="", "", G19+F19-1)</f>
        <v/>
      </c>
      <c r="I19" s="39"/>
      <c r="J19" s="38"/>
      <c r="K19" s="5"/>
    </row>
    <row r="20" spans="2:11" x14ac:dyDescent="0.2">
      <c r="B20" s="7">
        <f t="shared" si="0"/>
        <v>16</v>
      </c>
      <c r="C20" s="6"/>
      <c r="D20" s="6"/>
      <c r="E20" s="7"/>
      <c r="F20" s="7"/>
      <c r="G20" s="10" t="str">
        <f t="shared" si="1"/>
        <v/>
      </c>
      <c r="H20" s="10" t="str">
        <f>IF(C20="", "", G20+F20-1)</f>
        <v/>
      </c>
      <c r="I20" s="39"/>
      <c r="J20" s="38"/>
      <c r="K20" s="5"/>
    </row>
    <row r="21" spans="2:11" x14ac:dyDescent="0.2">
      <c r="B21" s="7">
        <f t="shared" si="0"/>
        <v>17</v>
      </c>
      <c r="C21" s="6"/>
      <c r="D21" s="6"/>
      <c r="E21" s="7"/>
      <c r="F21" s="7"/>
      <c r="G21" s="10" t="str">
        <f t="shared" si="1"/>
        <v/>
      </c>
      <c r="H21" s="10" t="str">
        <f>IF(C21="", "", G21+F21-1)</f>
        <v/>
      </c>
      <c r="I21" s="39"/>
      <c r="J21" s="38"/>
      <c r="K21" s="5"/>
    </row>
    <row r="22" spans="2:11" x14ac:dyDescent="0.2">
      <c r="B22" s="7">
        <f t="shared" si="0"/>
        <v>18</v>
      </c>
      <c r="C22" s="6"/>
      <c r="D22" s="6"/>
      <c r="E22" s="7"/>
      <c r="F22" s="7"/>
      <c r="G22" s="10" t="str">
        <f t="shared" si="1"/>
        <v/>
      </c>
      <c r="H22" s="10" t="str">
        <f>IF(C22="", "", G22+F22-1)</f>
        <v/>
      </c>
      <c r="I22" s="39"/>
      <c r="J22" s="38"/>
      <c r="K22" s="5"/>
    </row>
    <row r="23" spans="2:11" x14ac:dyDescent="0.2">
      <c r="B23" s="7">
        <f t="shared" si="0"/>
        <v>19</v>
      </c>
      <c r="C23" s="6"/>
      <c r="D23" s="6"/>
      <c r="E23" s="7"/>
      <c r="F23" s="7"/>
      <c r="G23" s="10" t="str">
        <f t="shared" si="1"/>
        <v/>
      </c>
      <c r="H23" s="10" t="str">
        <f>IF(C23="", "", G23+F23-1)</f>
        <v/>
      </c>
      <c r="I23" s="39"/>
      <c r="J23" s="38"/>
      <c r="K23" s="5"/>
    </row>
    <row r="24" spans="2:11" x14ac:dyDescent="0.2">
      <c r="B24" s="7">
        <f t="shared" si="0"/>
        <v>20</v>
      </c>
      <c r="C24" s="6"/>
      <c r="D24" s="6"/>
      <c r="E24" s="7"/>
      <c r="F24" s="7"/>
      <c r="G24" s="10" t="str">
        <f t="shared" si="1"/>
        <v/>
      </c>
      <c r="H24" s="10" t="str">
        <f>IF(C24="", "", G24+F24-1)</f>
        <v/>
      </c>
      <c r="I24" s="39"/>
      <c r="J24" s="38"/>
      <c r="K24" s="5"/>
    </row>
    <row r="25" spans="2:11" x14ac:dyDescent="0.2">
      <c r="B25" s="7">
        <f t="shared" si="0"/>
        <v>21</v>
      </c>
      <c r="C25" s="6"/>
      <c r="D25" s="6"/>
      <c r="E25" s="7"/>
      <c r="F25" s="7"/>
      <c r="G25" s="10" t="str">
        <f t="shared" si="1"/>
        <v/>
      </c>
      <c r="H25" s="10" t="str">
        <f>IF(C25="", "", G25+F25-1)</f>
        <v/>
      </c>
      <c r="I25" s="39"/>
      <c r="J25" s="38"/>
      <c r="K25" s="5"/>
    </row>
    <row r="26" spans="2:11" x14ac:dyDescent="0.2">
      <c r="B26" s="7">
        <f t="shared" si="0"/>
        <v>22</v>
      </c>
      <c r="C26" s="6"/>
      <c r="D26" s="6"/>
      <c r="E26" s="7"/>
      <c r="F26" s="7"/>
      <c r="G26" s="10" t="str">
        <f t="shared" si="1"/>
        <v/>
      </c>
      <c r="H26" s="10" t="str">
        <f>IF(C26="", "", G26+F26-1)</f>
        <v/>
      </c>
      <c r="I26" s="39"/>
      <c r="J26" s="38"/>
      <c r="K26" s="5"/>
    </row>
    <row r="27" spans="2:11" x14ac:dyDescent="0.2">
      <c r="B27" s="7">
        <f t="shared" si="0"/>
        <v>23</v>
      </c>
      <c r="C27" s="6"/>
      <c r="D27" s="6"/>
      <c r="E27" s="7"/>
      <c r="F27" s="7"/>
      <c r="G27" s="10" t="str">
        <f t="shared" si="1"/>
        <v/>
      </c>
      <c r="H27" s="10" t="str">
        <f>IF(C27="", "", G27+F27-1)</f>
        <v/>
      </c>
      <c r="I27" s="39"/>
      <c r="J27" s="38"/>
      <c r="K27" s="5"/>
    </row>
    <row r="28" spans="2:11" x14ac:dyDescent="0.2">
      <c r="B28" s="7">
        <f t="shared" si="0"/>
        <v>24</v>
      </c>
      <c r="C28" s="6"/>
      <c r="D28" s="6"/>
      <c r="E28" s="7"/>
      <c r="F28" s="7"/>
      <c r="G28" s="10" t="str">
        <f t="shared" si="1"/>
        <v/>
      </c>
      <c r="H28" s="10" t="str">
        <f>IF(C28="", "", G28+F28-1)</f>
        <v/>
      </c>
      <c r="I28" s="39"/>
      <c r="J28" s="38"/>
      <c r="K28" s="5"/>
    </row>
    <row r="29" spans="2:11" x14ac:dyDescent="0.2">
      <c r="B29" s="7">
        <f t="shared" si="0"/>
        <v>25</v>
      </c>
      <c r="C29" s="6"/>
      <c r="D29" s="6"/>
      <c r="E29" s="7"/>
      <c r="F29" s="7"/>
      <c r="G29" s="10" t="str">
        <f t="shared" si="1"/>
        <v/>
      </c>
      <c r="H29" s="10" t="str">
        <f>IF(C29="", "", G29+F29-1)</f>
        <v/>
      </c>
      <c r="I29" s="39"/>
      <c r="J29" s="38"/>
      <c r="K29" s="5"/>
    </row>
    <row r="30" spans="2:11" x14ac:dyDescent="0.2">
      <c r="B30" s="7">
        <f t="shared" si="0"/>
        <v>26</v>
      </c>
      <c r="C30" s="6"/>
      <c r="D30" s="6"/>
      <c r="E30" s="7"/>
      <c r="F30" s="7"/>
      <c r="G30" s="10" t="str">
        <f t="shared" si="1"/>
        <v/>
      </c>
      <c r="H30" s="10" t="str">
        <f>IF(C30="", "", G30+F30-1)</f>
        <v/>
      </c>
      <c r="I30" s="39"/>
      <c r="J30" s="38"/>
      <c r="K30" s="5"/>
    </row>
    <row r="31" spans="2:11" x14ac:dyDescent="0.2">
      <c r="B31" s="7">
        <f t="shared" si="0"/>
        <v>27</v>
      </c>
      <c r="C31" s="6"/>
      <c r="D31" s="6"/>
      <c r="E31" s="7"/>
      <c r="F31" s="7"/>
      <c r="G31" s="10" t="str">
        <f t="shared" si="1"/>
        <v/>
      </c>
      <c r="H31" s="10" t="str">
        <f>IF(C31="", "", G31+F31-1)</f>
        <v/>
      </c>
      <c r="I31" s="39"/>
      <c r="J31" s="38"/>
      <c r="K31" s="5"/>
    </row>
    <row r="32" spans="2:11" x14ac:dyDescent="0.2">
      <c r="B32" s="7">
        <f t="shared" si="0"/>
        <v>28</v>
      </c>
      <c r="C32" s="6"/>
      <c r="D32" s="6"/>
      <c r="E32" s="7"/>
      <c r="F32" s="7"/>
      <c r="G32" s="10" t="str">
        <f t="shared" si="1"/>
        <v/>
      </c>
      <c r="H32" s="10" t="str">
        <f>IF(C32="", "", G32+F32-1)</f>
        <v/>
      </c>
      <c r="I32" s="39"/>
      <c r="J32" s="38"/>
      <c r="K32" s="5"/>
    </row>
    <row r="33" spans="2:9" x14ac:dyDescent="0.2">
      <c r="B33" s="4" t="s">
        <v>2</v>
      </c>
      <c r="I33" s="35"/>
    </row>
  </sheetData>
  <phoneticPr fontId="1"/>
  <dataValidations count="2">
    <dataValidation type="list" allowBlank="1" showInputMessage="1" showErrorMessage="1" sqref="I5:I32">
      <formula1>パディング定義</formula1>
    </dataValidation>
    <dataValidation type="list" allowBlank="1" showInputMessage="1" showErrorMessage="1" sqref="E5:E32">
      <formula1>"－,○"</formula1>
    </dataValidation>
  </dataValidations>
  <pageMargins left="0.70866141732283472" right="0.70866141732283472" top="0.74803149606299213" bottom="0.74803149606299213" header="0.31496062992125984" footer="0.31496062992125984"/>
  <pageSetup paperSize="9" scale="81" fitToHeight="0" orientation="landscape" r:id="rId1"/>
  <headerFooter>
    <oddHeader>&amp;L&amp;F&amp;C&amp;A</oddHeader>
    <oddFooter>&amp;C&amp;P / &amp;N ページ&amp;R印刷日時：&amp;D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フッタ定義">
    <pageSetUpPr fitToPage="1"/>
  </sheetPr>
  <dimension ref="B1:K33"/>
  <sheetViews>
    <sheetView workbookViewId="0">
      <selection activeCell="I12" sqref="I12"/>
    </sheetView>
  </sheetViews>
  <sheetFormatPr defaultRowHeight="13.2" x14ac:dyDescent="0.2"/>
  <cols>
    <col min="1" max="1" width="1.77734375" style="1" customWidth="1"/>
    <col min="2" max="2" width="6" style="1" customWidth="1"/>
    <col min="3" max="4" width="15.109375" style="1" customWidth="1"/>
    <col min="5" max="5" width="6.6640625" style="44" customWidth="1"/>
    <col min="6" max="6" width="10.77734375" style="1" customWidth="1"/>
    <col min="7" max="8" width="11" style="1" customWidth="1"/>
    <col min="9" max="9" width="12.5546875" style="1" customWidth="1"/>
    <col min="10" max="10" width="36" style="1" customWidth="1"/>
    <col min="11" max="11" width="41.109375" style="1" customWidth="1"/>
    <col min="12" max="16384" width="8.88671875" style="1"/>
  </cols>
  <sheetData>
    <row r="1" spans="2:11" ht="6.6" customHeight="1" x14ac:dyDescent="0.2"/>
    <row r="2" spans="2:11" ht="12.6" customHeight="1" x14ac:dyDescent="0.2">
      <c r="B2" s="43" t="s">
        <v>71</v>
      </c>
    </row>
    <row r="3" spans="2:11" ht="6.6" customHeight="1" x14ac:dyDescent="0.2"/>
    <row r="4" spans="2:11" x14ac:dyDescent="0.2">
      <c r="B4" s="36" t="s">
        <v>1</v>
      </c>
      <c r="C4" s="36" t="s">
        <v>0</v>
      </c>
      <c r="D4" s="36" t="s">
        <v>16</v>
      </c>
      <c r="E4" s="36" t="s">
        <v>87</v>
      </c>
      <c r="F4" s="36" t="s">
        <v>85</v>
      </c>
      <c r="G4" s="36" t="s">
        <v>17</v>
      </c>
      <c r="H4" s="36" t="s">
        <v>18</v>
      </c>
      <c r="I4" s="36" t="s">
        <v>23</v>
      </c>
      <c r="J4" s="37" t="s">
        <v>15</v>
      </c>
      <c r="K4" s="37" t="s">
        <v>50</v>
      </c>
    </row>
    <row r="5" spans="2:11" x14ac:dyDescent="0.2">
      <c r="B5" s="7">
        <f>ROW()-4</f>
        <v>1</v>
      </c>
      <c r="C5" s="6"/>
      <c r="D5" s="6"/>
      <c r="E5" s="7"/>
      <c r="F5" s="7"/>
      <c r="G5" s="9" t="str">
        <f>IF(F5="", "", 1)</f>
        <v/>
      </c>
      <c r="H5" s="10" t="str">
        <f>IF(C5="", "", G5+F5-1)</f>
        <v/>
      </c>
      <c r="I5" s="18"/>
      <c r="J5" s="38"/>
      <c r="K5" s="5"/>
    </row>
    <row r="6" spans="2:11" x14ac:dyDescent="0.2">
      <c r="B6" s="7">
        <f t="shared" ref="B6:B32" si="0">ROW()-4</f>
        <v>2</v>
      </c>
      <c r="C6" s="6"/>
      <c r="D6" s="6"/>
      <c r="E6" s="7"/>
      <c r="F6" s="7"/>
      <c r="G6" s="10" t="str">
        <f>IF(C6="", "", H5+1)</f>
        <v/>
      </c>
      <c r="H6" s="10" t="str">
        <f>IF(C6="", "", G6+F6-1)</f>
        <v/>
      </c>
      <c r="I6" s="18"/>
      <c r="J6" s="38"/>
      <c r="K6" s="5"/>
    </row>
    <row r="7" spans="2:11" x14ac:dyDescent="0.2">
      <c r="B7" s="7">
        <f t="shared" si="0"/>
        <v>3</v>
      </c>
      <c r="C7" s="6"/>
      <c r="D7" s="7"/>
      <c r="E7" s="7"/>
      <c r="F7" s="7"/>
      <c r="G7" s="10" t="str">
        <f t="shared" ref="G7:G32" si="1">IF(C7="", "", H6+1)</f>
        <v/>
      </c>
      <c r="H7" s="10" t="str">
        <f>IF(C7="", "", G7+F7-1)</f>
        <v/>
      </c>
      <c r="I7" s="18"/>
      <c r="J7" s="18"/>
      <c r="K7" s="5"/>
    </row>
    <row r="8" spans="2:11" x14ac:dyDescent="0.2">
      <c r="B8" s="7">
        <f t="shared" si="0"/>
        <v>4</v>
      </c>
      <c r="C8" s="6"/>
      <c r="D8" s="7"/>
      <c r="E8" s="7"/>
      <c r="F8" s="7"/>
      <c r="G8" s="10" t="str">
        <f t="shared" si="1"/>
        <v/>
      </c>
      <c r="H8" s="10" t="str">
        <f>IF(C8="", "", G8+F8-1)</f>
        <v/>
      </c>
      <c r="I8" s="18"/>
      <c r="J8" s="18"/>
      <c r="K8" s="5"/>
    </row>
    <row r="9" spans="2:11" x14ac:dyDescent="0.2">
      <c r="B9" s="7">
        <f t="shared" si="0"/>
        <v>5</v>
      </c>
      <c r="C9" s="6"/>
      <c r="D9" s="7"/>
      <c r="E9" s="7"/>
      <c r="F9" s="7"/>
      <c r="G9" s="10" t="str">
        <f t="shared" si="1"/>
        <v/>
      </c>
      <c r="H9" s="10" t="str">
        <f>IF(C9="", "", G9+F9-1)</f>
        <v/>
      </c>
      <c r="I9" s="18"/>
      <c r="J9" s="18"/>
      <c r="K9" s="5"/>
    </row>
    <row r="10" spans="2:11" x14ac:dyDescent="0.2">
      <c r="B10" s="7">
        <f t="shared" si="0"/>
        <v>6</v>
      </c>
      <c r="C10" s="6"/>
      <c r="D10" s="7"/>
      <c r="E10" s="7"/>
      <c r="F10" s="7"/>
      <c r="G10" s="10" t="str">
        <f t="shared" si="1"/>
        <v/>
      </c>
      <c r="H10" s="10" t="str">
        <f>IF(C10="", "", G10+F10-1)</f>
        <v/>
      </c>
      <c r="I10" s="18"/>
      <c r="J10" s="18"/>
      <c r="K10" s="5"/>
    </row>
    <row r="11" spans="2:11" x14ac:dyDescent="0.2">
      <c r="B11" s="7">
        <f t="shared" si="0"/>
        <v>7</v>
      </c>
      <c r="C11" s="6"/>
      <c r="D11" s="7"/>
      <c r="E11" s="7"/>
      <c r="F11" s="7"/>
      <c r="G11" s="10" t="str">
        <f t="shared" si="1"/>
        <v/>
      </c>
      <c r="H11" s="10" t="str">
        <f>IF(C11="", "", G11+F11-1)</f>
        <v/>
      </c>
      <c r="I11" s="18"/>
      <c r="J11" s="18"/>
      <c r="K11" s="5"/>
    </row>
    <row r="12" spans="2:11" x14ac:dyDescent="0.2">
      <c r="B12" s="7">
        <f t="shared" si="0"/>
        <v>8</v>
      </c>
      <c r="C12" s="6"/>
      <c r="D12" s="7"/>
      <c r="E12" s="7"/>
      <c r="F12" s="7"/>
      <c r="G12" s="10" t="str">
        <f t="shared" si="1"/>
        <v/>
      </c>
      <c r="H12" s="10" t="str">
        <f>IF(C12="", "", G12+F12-1)</f>
        <v/>
      </c>
      <c r="I12" s="18"/>
      <c r="J12" s="18"/>
      <c r="K12" s="5"/>
    </row>
    <row r="13" spans="2:11" x14ac:dyDescent="0.2">
      <c r="B13" s="7">
        <f t="shared" si="0"/>
        <v>9</v>
      </c>
      <c r="C13" s="6"/>
      <c r="D13" s="7"/>
      <c r="E13" s="7"/>
      <c r="F13" s="7"/>
      <c r="G13" s="10" t="str">
        <f t="shared" si="1"/>
        <v/>
      </c>
      <c r="H13" s="10" t="str">
        <f>IF(C13="", "", G13+F13-1)</f>
        <v/>
      </c>
      <c r="I13" s="18"/>
      <c r="J13" s="18"/>
      <c r="K13" s="5"/>
    </row>
    <row r="14" spans="2:11" x14ac:dyDescent="0.2">
      <c r="B14" s="7">
        <f t="shared" si="0"/>
        <v>10</v>
      </c>
      <c r="C14" s="6"/>
      <c r="D14" s="7"/>
      <c r="E14" s="7"/>
      <c r="F14" s="7"/>
      <c r="G14" s="10" t="str">
        <f t="shared" si="1"/>
        <v/>
      </c>
      <c r="H14" s="10" t="str">
        <f>IF(C14="", "", G14+F14-1)</f>
        <v/>
      </c>
      <c r="I14" s="18"/>
      <c r="J14" s="18"/>
      <c r="K14" s="5"/>
    </row>
    <row r="15" spans="2:11" x14ac:dyDescent="0.2">
      <c r="B15" s="7">
        <f t="shared" si="0"/>
        <v>11</v>
      </c>
      <c r="C15" s="6"/>
      <c r="D15" s="7"/>
      <c r="E15" s="7"/>
      <c r="F15" s="7"/>
      <c r="G15" s="10" t="str">
        <f t="shared" si="1"/>
        <v/>
      </c>
      <c r="H15" s="10" t="str">
        <f>IF(C15="", "", G15+F15-1)</f>
        <v/>
      </c>
      <c r="I15" s="18"/>
      <c r="J15" s="18"/>
      <c r="K15" s="5"/>
    </row>
    <row r="16" spans="2:11" x14ac:dyDescent="0.2">
      <c r="B16" s="7">
        <f t="shared" si="0"/>
        <v>12</v>
      </c>
      <c r="C16" s="6"/>
      <c r="D16" s="7"/>
      <c r="E16" s="7"/>
      <c r="F16" s="7"/>
      <c r="G16" s="10" t="str">
        <f t="shared" si="1"/>
        <v/>
      </c>
      <c r="H16" s="10" t="str">
        <f>IF(C16="", "", G16+F16-1)</f>
        <v/>
      </c>
      <c r="I16" s="18"/>
      <c r="J16" s="18"/>
      <c r="K16" s="5"/>
    </row>
    <row r="17" spans="2:11" x14ac:dyDescent="0.2">
      <c r="B17" s="7">
        <f t="shared" si="0"/>
        <v>13</v>
      </c>
      <c r="C17" s="6"/>
      <c r="D17" s="7"/>
      <c r="E17" s="7"/>
      <c r="F17" s="7"/>
      <c r="G17" s="10" t="str">
        <f t="shared" si="1"/>
        <v/>
      </c>
      <c r="H17" s="10" t="str">
        <f>IF(C17="", "", G17+F17-1)</f>
        <v/>
      </c>
      <c r="I17" s="18"/>
      <c r="J17" s="18"/>
      <c r="K17" s="5"/>
    </row>
    <row r="18" spans="2:11" x14ac:dyDescent="0.2">
      <c r="B18" s="7">
        <f t="shared" si="0"/>
        <v>14</v>
      </c>
      <c r="C18" s="6"/>
      <c r="D18" s="7"/>
      <c r="E18" s="7"/>
      <c r="F18" s="7"/>
      <c r="G18" s="10" t="str">
        <f t="shared" si="1"/>
        <v/>
      </c>
      <c r="H18" s="10" t="str">
        <f>IF(C18="", "", G18+F18-1)</f>
        <v/>
      </c>
      <c r="I18" s="18"/>
      <c r="J18" s="18"/>
      <c r="K18" s="5"/>
    </row>
    <row r="19" spans="2:11" x14ac:dyDescent="0.2">
      <c r="B19" s="7">
        <f t="shared" si="0"/>
        <v>15</v>
      </c>
      <c r="C19" s="6"/>
      <c r="D19" s="7"/>
      <c r="E19" s="7"/>
      <c r="F19" s="7"/>
      <c r="G19" s="10" t="str">
        <f t="shared" si="1"/>
        <v/>
      </c>
      <c r="H19" s="10" t="str">
        <f>IF(C19="", "", G19+F19-1)</f>
        <v/>
      </c>
      <c r="I19" s="18"/>
      <c r="J19" s="18"/>
      <c r="K19" s="5"/>
    </row>
    <row r="20" spans="2:11" x14ac:dyDescent="0.2">
      <c r="B20" s="7">
        <f t="shared" si="0"/>
        <v>16</v>
      </c>
      <c r="C20" s="6"/>
      <c r="D20" s="7"/>
      <c r="E20" s="7"/>
      <c r="F20" s="7"/>
      <c r="G20" s="10" t="str">
        <f t="shared" si="1"/>
        <v/>
      </c>
      <c r="H20" s="10" t="str">
        <f>IF(C20="", "", G20+F20-1)</f>
        <v/>
      </c>
      <c r="I20" s="18"/>
      <c r="J20" s="18"/>
      <c r="K20" s="5"/>
    </row>
    <row r="21" spans="2:11" x14ac:dyDescent="0.2">
      <c r="B21" s="7">
        <f t="shared" si="0"/>
        <v>17</v>
      </c>
      <c r="C21" s="6"/>
      <c r="D21" s="7"/>
      <c r="E21" s="7"/>
      <c r="F21" s="7"/>
      <c r="G21" s="10" t="str">
        <f t="shared" si="1"/>
        <v/>
      </c>
      <c r="H21" s="10" t="str">
        <f>IF(C21="", "", G21+F21-1)</f>
        <v/>
      </c>
      <c r="I21" s="18"/>
      <c r="J21" s="18"/>
      <c r="K21" s="5"/>
    </row>
    <row r="22" spans="2:11" x14ac:dyDescent="0.2">
      <c r="B22" s="7">
        <f t="shared" si="0"/>
        <v>18</v>
      </c>
      <c r="C22" s="6"/>
      <c r="D22" s="7"/>
      <c r="E22" s="7"/>
      <c r="F22" s="7"/>
      <c r="G22" s="10" t="str">
        <f t="shared" si="1"/>
        <v/>
      </c>
      <c r="H22" s="10" t="str">
        <f>IF(C22="", "", G22+F22-1)</f>
        <v/>
      </c>
      <c r="I22" s="18"/>
      <c r="J22" s="18"/>
      <c r="K22" s="5"/>
    </row>
    <row r="23" spans="2:11" x14ac:dyDescent="0.2">
      <c r="B23" s="7">
        <f t="shared" si="0"/>
        <v>19</v>
      </c>
      <c r="C23" s="6"/>
      <c r="D23" s="7"/>
      <c r="E23" s="7"/>
      <c r="F23" s="7"/>
      <c r="G23" s="10" t="str">
        <f t="shared" si="1"/>
        <v/>
      </c>
      <c r="H23" s="10" t="str">
        <f>IF(C23="", "", G23+F23-1)</f>
        <v/>
      </c>
      <c r="I23" s="18"/>
      <c r="J23" s="18"/>
      <c r="K23" s="5"/>
    </row>
    <row r="24" spans="2:11" x14ac:dyDescent="0.2">
      <c r="B24" s="7">
        <f t="shared" si="0"/>
        <v>20</v>
      </c>
      <c r="C24" s="6"/>
      <c r="D24" s="7"/>
      <c r="E24" s="7"/>
      <c r="F24" s="7"/>
      <c r="G24" s="10" t="str">
        <f t="shared" si="1"/>
        <v/>
      </c>
      <c r="H24" s="10" t="str">
        <f>IF(C24="", "", G24+F24-1)</f>
        <v/>
      </c>
      <c r="I24" s="18"/>
      <c r="J24" s="18"/>
      <c r="K24" s="5"/>
    </row>
    <row r="25" spans="2:11" x14ac:dyDescent="0.2">
      <c r="B25" s="7">
        <f t="shared" si="0"/>
        <v>21</v>
      </c>
      <c r="C25" s="6"/>
      <c r="D25" s="7"/>
      <c r="E25" s="7"/>
      <c r="F25" s="7"/>
      <c r="G25" s="10" t="str">
        <f t="shared" si="1"/>
        <v/>
      </c>
      <c r="H25" s="10" t="str">
        <f>IF(C25="", "", G25+F25-1)</f>
        <v/>
      </c>
      <c r="I25" s="18"/>
      <c r="J25" s="18"/>
      <c r="K25" s="5"/>
    </row>
    <row r="26" spans="2:11" x14ac:dyDescent="0.2">
      <c r="B26" s="7">
        <f t="shared" si="0"/>
        <v>22</v>
      </c>
      <c r="C26" s="6"/>
      <c r="D26" s="7"/>
      <c r="E26" s="7"/>
      <c r="F26" s="7"/>
      <c r="G26" s="10" t="str">
        <f t="shared" si="1"/>
        <v/>
      </c>
      <c r="H26" s="10" t="str">
        <f>IF(C26="", "", G26+F26-1)</f>
        <v/>
      </c>
      <c r="I26" s="18"/>
      <c r="J26" s="18"/>
      <c r="K26" s="5"/>
    </row>
    <row r="27" spans="2:11" x14ac:dyDescent="0.2">
      <c r="B27" s="7">
        <f t="shared" si="0"/>
        <v>23</v>
      </c>
      <c r="C27" s="6"/>
      <c r="D27" s="7"/>
      <c r="E27" s="7"/>
      <c r="F27" s="7"/>
      <c r="G27" s="10" t="str">
        <f t="shared" si="1"/>
        <v/>
      </c>
      <c r="H27" s="10" t="str">
        <f>IF(C27="", "", G27+F27-1)</f>
        <v/>
      </c>
      <c r="I27" s="18"/>
      <c r="J27" s="18"/>
      <c r="K27" s="5"/>
    </row>
    <row r="28" spans="2:11" x14ac:dyDescent="0.2">
      <c r="B28" s="7">
        <f t="shared" si="0"/>
        <v>24</v>
      </c>
      <c r="C28" s="6"/>
      <c r="D28" s="7"/>
      <c r="E28" s="7"/>
      <c r="F28" s="7"/>
      <c r="G28" s="10" t="str">
        <f t="shared" si="1"/>
        <v/>
      </c>
      <c r="H28" s="10" t="str">
        <f>IF(C28="", "", G28+F28-1)</f>
        <v/>
      </c>
      <c r="I28" s="18"/>
      <c r="J28" s="18"/>
      <c r="K28" s="5"/>
    </row>
    <row r="29" spans="2:11" x14ac:dyDescent="0.2">
      <c r="B29" s="7">
        <f t="shared" si="0"/>
        <v>25</v>
      </c>
      <c r="C29" s="6"/>
      <c r="D29" s="7"/>
      <c r="E29" s="7"/>
      <c r="F29" s="7"/>
      <c r="G29" s="10" t="str">
        <f t="shared" si="1"/>
        <v/>
      </c>
      <c r="H29" s="10" t="str">
        <f>IF(C29="", "", G29+F29-1)</f>
        <v/>
      </c>
      <c r="I29" s="18"/>
      <c r="J29" s="18"/>
      <c r="K29" s="5"/>
    </row>
    <row r="30" spans="2:11" x14ac:dyDescent="0.2">
      <c r="B30" s="7">
        <f t="shared" si="0"/>
        <v>26</v>
      </c>
      <c r="C30" s="6"/>
      <c r="D30" s="7"/>
      <c r="E30" s="7"/>
      <c r="F30" s="7"/>
      <c r="G30" s="10" t="str">
        <f t="shared" si="1"/>
        <v/>
      </c>
      <c r="H30" s="10" t="str">
        <f>IF(C30="", "", G30+F30-1)</f>
        <v/>
      </c>
      <c r="I30" s="18"/>
      <c r="J30" s="18"/>
      <c r="K30" s="5"/>
    </row>
    <row r="31" spans="2:11" x14ac:dyDescent="0.2">
      <c r="B31" s="7">
        <f t="shared" si="0"/>
        <v>27</v>
      </c>
      <c r="C31" s="6"/>
      <c r="D31" s="7"/>
      <c r="E31" s="7"/>
      <c r="F31" s="7"/>
      <c r="G31" s="10" t="str">
        <f t="shared" si="1"/>
        <v/>
      </c>
      <c r="H31" s="10" t="str">
        <f>IF(C31="", "", G31+F31-1)</f>
        <v/>
      </c>
      <c r="I31" s="18"/>
      <c r="J31" s="18"/>
      <c r="K31" s="5"/>
    </row>
    <row r="32" spans="2:11" x14ac:dyDescent="0.2">
      <c r="B32" s="7">
        <f t="shared" si="0"/>
        <v>28</v>
      </c>
      <c r="C32" s="6"/>
      <c r="D32" s="7"/>
      <c r="E32" s="7"/>
      <c r="F32" s="7"/>
      <c r="G32" s="10" t="str">
        <f t="shared" si="1"/>
        <v/>
      </c>
      <c r="H32" s="10" t="str">
        <f>IF(C32="", "", G32+F32-1)</f>
        <v/>
      </c>
      <c r="I32" s="18"/>
      <c r="J32" s="18"/>
      <c r="K32" s="5"/>
    </row>
    <row r="33" spans="2:9" x14ac:dyDescent="0.2">
      <c r="B33" s="4" t="s">
        <v>2</v>
      </c>
      <c r="I33" s="35" t="s">
        <v>52</v>
      </c>
    </row>
  </sheetData>
  <phoneticPr fontId="1"/>
  <dataValidations count="2">
    <dataValidation type="list" allowBlank="1" showInputMessage="1" showErrorMessage="1" sqref="I5:I32">
      <formula1>パディング定義</formula1>
    </dataValidation>
    <dataValidation type="list" allowBlank="1" showInputMessage="1" showErrorMessage="1" sqref="E5:E32">
      <formula1>"－,○"</formula1>
    </dataValidation>
  </dataValidations>
  <pageMargins left="0.70866141732283472" right="0.70866141732283472" top="0.74803149606299213" bottom="0.74803149606299213" header="0.31496062992125984" footer="0.31496062992125984"/>
  <pageSetup paperSize="9" scale="81" fitToHeight="0" orientation="landscape" r:id="rId1"/>
  <headerFooter>
    <oddHeader>&amp;L&amp;F&amp;C&amp;A</oddHeader>
    <oddFooter>&amp;C&amp;P / &amp;N ページ&amp;R印刷日時：&amp;D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設定"/>
  <dimension ref="A1:D24"/>
  <sheetViews>
    <sheetView tabSelected="1" workbookViewId="0">
      <selection activeCell="E18" sqref="E18"/>
    </sheetView>
  </sheetViews>
  <sheetFormatPr defaultRowHeight="13.2" x14ac:dyDescent="0.2"/>
  <cols>
    <col min="1" max="1" width="1.77734375" style="1" customWidth="1"/>
    <col min="2" max="2" width="21.5546875" style="1" customWidth="1"/>
    <col min="3" max="3" width="22" style="1" customWidth="1"/>
    <col min="4" max="4" width="14.21875" style="1" customWidth="1"/>
    <col min="5" max="5" width="15.33203125" style="1" customWidth="1"/>
    <col min="6" max="16384" width="8.88671875" style="1"/>
  </cols>
  <sheetData>
    <row r="1" spans="1:4" x14ac:dyDescent="0.2">
      <c r="A1" s="1" t="s">
        <v>56</v>
      </c>
    </row>
    <row r="6" spans="1:4" x14ac:dyDescent="0.2">
      <c r="A6" s="1" t="s">
        <v>55</v>
      </c>
    </row>
    <row r="7" spans="1:4" x14ac:dyDescent="0.2">
      <c r="B7" s="3" t="s">
        <v>9</v>
      </c>
      <c r="C7" s="3" t="s">
        <v>62</v>
      </c>
      <c r="D7" s="3" t="s">
        <v>63</v>
      </c>
    </row>
    <row r="8" spans="1:4" x14ac:dyDescent="0.2">
      <c r="B8" s="21" t="s">
        <v>28</v>
      </c>
      <c r="C8" s="2" t="s">
        <v>79</v>
      </c>
      <c r="D8" s="2" t="s">
        <v>103</v>
      </c>
    </row>
    <row r="9" spans="1:4" x14ac:dyDescent="0.2">
      <c r="B9" s="22"/>
      <c r="C9" s="2" t="s">
        <v>78</v>
      </c>
      <c r="D9" s="2" t="s">
        <v>105</v>
      </c>
    </row>
    <row r="10" spans="1:4" x14ac:dyDescent="0.2">
      <c r="B10" s="25"/>
      <c r="C10" s="2" t="s">
        <v>77</v>
      </c>
      <c r="D10" s="2" t="s">
        <v>104</v>
      </c>
    </row>
    <row r="11" spans="1:4" x14ac:dyDescent="0.2">
      <c r="B11" s="21" t="s">
        <v>58</v>
      </c>
      <c r="C11" s="2" t="s">
        <v>59</v>
      </c>
      <c r="D11" s="2" t="s">
        <v>59</v>
      </c>
    </row>
    <row r="12" spans="1:4" x14ac:dyDescent="0.2">
      <c r="B12" s="25"/>
      <c r="C12" s="2" t="s">
        <v>61</v>
      </c>
      <c r="D12" s="2" t="s">
        <v>74</v>
      </c>
    </row>
    <row r="13" spans="1:4" x14ac:dyDescent="0.2">
      <c r="B13" s="21" t="s">
        <v>29</v>
      </c>
      <c r="C13" s="2" t="s">
        <v>44</v>
      </c>
      <c r="D13" s="2" t="s">
        <v>80</v>
      </c>
    </row>
    <row r="14" spans="1:4" x14ac:dyDescent="0.2">
      <c r="B14" s="25"/>
      <c r="C14" s="2" t="s">
        <v>46</v>
      </c>
      <c r="D14" s="2" t="s">
        <v>81</v>
      </c>
    </row>
    <row r="15" spans="1:4" x14ac:dyDescent="0.2">
      <c r="B15" s="21" t="s">
        <v>30</v>
      </c>
      <c r="C15" s="2" t="s">
        <v>86</v>
      </c>
      <c r="D15" s="2" t="s">
        <v>108</v>
      </c>
    </row>
    <row r="16" spans="1:4" x14ac:dyDescent="0.2">
      <c r="B16" s="22"/>
      <c r="C16" s="2" t="s">
        <v>45</v>
      </c>
      <c r="D16" s="2" t="s">
        <v>109</v>
      </c>
    </row>
    <row r="17" spans="2:4" x14ac:dyDescent="0.2">
      <c r="B17" s="25"/>
      <c r="C17" s="2" t="s">
        <v>47</v>
      </c>
      <c r="D17" s="2" t="s">
        <v>110</v>
      </c>
    </row>
    <row r="18" spans="2:4" x14ac:dyDescent="0.2">
      <c r="B18" s="21" t="s">
        <v>31</v>
      </c>
      <c r="C18" s="2" t="s">
        <v>49</v>
      </c>
      <c r="D18" s="2" t="s">
        <v>112</v>
      </c>
    </row>
    <row r="19" spans="2:4" x14ac:dyDescent="0.2">
      <c r="B19" s="25"/>
      <c r="C19" s="2" t="s">
        <v>75</v>
      </c>
      <c r="D19" s="40" t="s">
        <v>111</v>
      </c>
    </row>
    <row r="20" spans="2:4" x14ac:dyDescent="0.2">
      <c r="B20" s="21" t="s">
        <v>84</v>
      </c>
      <c r="C20" s="2" t="s">
        <v>49</v>
      </c>
      <c r="D20" s="2" t="s">
        <v>64</v>
      </c>
    </row>
    <row r="21" spans="2:4" x14ac:dyDescent="0.2">
      <c r="B21" s="22"/>
      <c r="C21" s="2" t="s">
        <v>22</v>
      </c>
      <c r="D21" s="2" t="s">
        <v>102</v>
      </c>
    </row>
    <row r="22" spans="2:4" x14ac:dyDescent="0.2">
      <c r="B22" s="23"/>
      <c r="C22" s="2" t="s">
        <v>21</v>
      </c>
      <c r="D22" s="2" t="s">
        <v>65</v>
      </c>
    </row>
    <row r="23" spans="2:4" x14ac:dyDescent="0.2">
      <c r="B23" s="23"/>
      <c r="C23" s="2" t="s">
        <v>24</v>
      </c>
      <c r="D23" s="2" t="s">
        <v>66</v>
      </c>
    </row>
    <row r="24" spans="2:4" x14ac:dyDescent="0.2">
      <c r="B24" s="24"/>
      <c r="C24" s="2" t="s">
        <v>25</v>
      </c>
      <c r="D24" s="2" t="s">
        <v>67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BtnXML作成">
          <controlPr defaultSize="0" autoLine="0" r:id="rId5">
            <anchor moveWithCells="1">
              <from>
                <xdr:col>1</xdr:col>
                <xdr:colOff>53340</xdr:colOff>
                <xdr:row>1</xdr:row>
                <xdr:rowOff>45720</xdr:rowOff>
              </from>
              <to>
                <xdr:col>2</xdr:col>
                <xdr:colOff>281940</xdr:colOff>
                <xdr:row>3</xdr:row>
                <xdr:rowOff>114300</xdr:rowOff>
              </to>
            </anchor>
          </controlPr>
        </control>
      </mc:Choice>
      <mc:Fallback>
        <control shapeId="7170" r:id="rId4" name="BtnXML作成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29</vt:i4>
      </vt:variant>
    </vt:vector>
  </HeadingPairs>
  <TitlesOfParts>
    <vt:vector size="35" baseType="lpstr">
      <vt:lpstr>改定履歴</vt:lpstr>
      <vt:lpstr>表紙</vt:lpstr>
      <vt:lpstr>ヘッダ定義</vt:lpstr>
      <vt:lpstr>明細定義</vt:lpstr>
      <vt:lpstr>フッタ定義</vt:lpstr>
      <vt:lpstr>ツール</vt:lpstr>
      <vt:lpstr>フッタ定義!MAX桁数</vt:lpstr>
      <vt:lpstr>ヘッダ定義!MAX桁数</vt:lpstr>
      <vt:lpstr>明細定義!MAX桁数</vt:lpstr>
      <vt:lpstr>ツール!Vlookup用パディング定義</vt:lpstr>
      <vt:lpstr>表紙!システム名</vt:lpstr>
      <vt:lpstr>フッタ定義!パディング</vt:lpstr>
      <vt:lpstr>ヘッダ定義!パディング</vt:lpstr>
      <vt:lpstr>明細定義!パディング</vt:lpstr>
      <vt:lpstr>パディング定義</vt:lpstr>
      <vt:lpstr>表紙!ファイル物理名</vt:lpstr>
      <vt:lpstr>表紙!ファイル名</vt:lpstr>
      <vt:lpstr>表紙!囲い文字</vt:lpstr>
      <vt:lpstr>表紙!改行コード</vt:lpstr>
      <vt:lpstr>表紙!格納先</vt:lpstr>
      <vt:lpstr>表紙!区切り文字</vt:lpstr>
      <vt:lpstr>表紙!固定可変</vt:lpstr>
      <vt:lpstr>フッタ定義!行番号</vt:lpstr>
      <vt:lpstr>ヘッダ定義!行番号</vt:lpstr>
      <vt:lpstr>明細定義!行番号</vt:lpstr>
      <vt:lpstr>フッタ定義!項目ID</vt:lpstr>
      <vt:lpstr>ヘッダ定義!項目ID</vt:lpstr>
      <vt:lpstr>明細定義!項目ID</vt:lpstr>
      <vt:lpstr>フッタ定義!項目名</vt:lpstr>
      <vt:lpstr>ヘッダ定義!項目名</vt:lpstr>
      <vt:lpstr>明細定義!項目名</vt:lpstr>
      <vt:lpstr>フッタ定義!必須</vt:lpstr>
      <vt:lpstr>ヘッダ定義!必須</vt:lpstr>
      <vt:lpstr>明細定義!必須</vt:lpstr>
      <vt:lpstr>表紙!文字コード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Shiba Yu</dc:creator>
  <cp:lastModifiedBy>芝優</cp:lastModifiedBy>
  <cp:lastPrinted>2017-09-30T15:49:04Z</cp:lastPrinted>
  <dcterms:created xsi:type="dcterms:W3CDTF">2006-09-16T00:00:00Z</dcterms:created>
  <dcterms:modified xsi:type="dcterms:W3CDTF">2017-10-15T13:31:40Z</dcterms:modified>
</cp:coreProperties>
</file>